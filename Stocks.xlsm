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Michael\Documents\Coding\asx-scraper\"/>
    </mc:Choice>
  </mc:AlternateContent>
  <xr:revisionPtr revIDLastSave="0" documentId="13_ncr:1_{713C5EAE-375D-401D-8995-CF9B08056AC7}" xr6:coauthVersionLast="44" xr6:coauthVersionMax="44" xr10:uidLastSave="{00000000-0000-0000-0000-000000000000}"/>
  <bookViews>
    <workbookView xWindow="-120" yWindow="-120" windowWidth="29040" windowHeight="15840" tabRatio="917" xr2:uid="{2FCE4E77-2230-4A42-BBF0-7BD2C206C95C}"/>
  </bookViews>
  <sheets>
    <sheet name="MAIN" sheetId="1" r:id="rId1"/>
    <sheet name="options" sheetId="9" r:id="rId2"/>
    <sheet name="stock summary" sheetId="2" r:id="rId3"/>
    <sheet name="historical financials" sheetId="4" r:id="rId4"/>
    <sheet name="historical statistics" sheetId="6" r:id="rId5"/>
    <sheet name="balance sheet" sheetId="10" r:id="rId6"/>
    <sheet name="historical price" sheetId="18" r:id="rId7"/>
  </sheets>
  <definedNames>
    <definedName name="DATES">OFFSET('historical price'!$A$2,0,0,COUNTA('historical price'!$A:$A)-1)</definedName>
    <definedName name="PRICES">OFFSET('historical price'!$C$2,0,0,COUNTA('historical price'!$A:$A)-1)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N2" i="1"/>
  <c r="L2" i="1"/>
  <c r="J2" i="1"/>
  <c r="H2" i="1"/>
  <c r="F2" i="1"/>
  <c r="C17" i="1"/>
  <c r="C16" i="1"/>
  <c r="C15" i="1"/>
  <c r="C14" i="1"/>
  <c r="C13" i="1"/>
  <c r="C12" i="1"/>
  <c r="C8" i="1"/>
  <c r="C7" i="1"/>
  <c r="C6" i="1"/>
  <c r="C5" i="1"/>
  <c r="C4" i="1"/>
  <c r="D27" i="1"/>
  <c r="D31" i="1" s="1"/>
  <c r="E27" i="1"/>
  <c r="E30" i="1" s="1"/>
  <c r="F27" i="1"/>
  <c r="F30" i="1" s="1"/>
  <c r="G27" i="1"/>
  <c r="G29" i="1" s="1"/>
  <c r="H27" i="1"/>
  <c r="H34" i="1" s="1"/>
  <c r="I27" i="1"/>
  <c r="I28" i="1" s="1"/>
  <c r="J27" i="1"/>
  <c r="J30" i="1" s="1"/>
  <c r="K27" i="1"/>
  <c r="K30" i="1" s="1"/>
  <c r="L27" i="1"/>
  <c r="L31" i="1" s="1"/>
  <c r="C27" i="1"/>
  <c r="C30" i="1" s="1"/>
  <c r="F34" i="1" l="1"/>
  <c r="D30" i="1"/>
  <c r="C29" i="1"/>
  <c r="L29" i="1"/>
  <c r="K29" i="1"/>
  <c r="K31" i="1"/>
  <c r="L28" i="1"/>
  <c r="J31" i="1"/>
  <c r="G28" i="1"/>
  <c r="I31" i="1"/>
  <c r="F28" i="1"/>
  <c r="H31" i="1"/>
  <c r="F29" i="1"/>
  <c r="E28" i="1"/>
  <c r="G31" i="1"/>
  <c r="H28" i="1"/>
  <c r="E29" i="1"/>
  <c r="D28" i="1"/>
  <c r="F31" i="1"/>
  <c r="L30" i="1"/>
  <c r="D29" i="1"/>
  <c r="C34" i="1"/>
  <c r="C31" i="1"/>
  <c r="E31" i="1"/>
  <c r="E33" i="1" s="1"/>
  <c r="C28" i="1"/>
  <c r="L34" i="1"/>
  <c r="G34" i="1"/>
  <c r="E34" i="1"/>
  <c r="I30" i="1"/>
  <c r="D34" i="1"/>
  <c r="K34" i="1"/>
  <c r="H30" i="1"/>
  <c r="G30" i="1"/>
  <c r="I29" i="1"/>
  <c r="K28" i="1"/>
  <c r="J34" i="1"/>
  <c r="J29" i="1"/>
  <c r="H29" i="1"/>
  <c r="J28" i="1"/>
  <c r="I34" i="1"/>
  <c r="G10" i="9"/>
  <c r="C33" i="1" l="1"/>
  <c r="L32" i="1"/>
  <c r="C32" i="1"/>
  <c r="F32" i="1"/>
  <c r="E32" i="1"/>
  <c r="D32" i="1"/>
  <c r="D33" i="1"/>
  <c r="L33" i="1"/>
  <c r="F33" i="1"/>
  <c r="G33" i="1"/>
  <c r="K33" i="1"/>
  <c r="K32" i="1"/>
  <c r="I33" i="1"/>
  <c r="I32" i="1"/>
  <c r="G32" i="1"/>
  <c r="H33" i="1"/>
  <c r="H32" i="1"/>
  <c r="J32" i="1"/>
  <c r="J33" i="1"/>
  <c r="C9" i="1"/>
  <c r="C21" i="1" l="1"/>
  <c r="G11" i="9"/>
  <c r="G9" i="9" l="1"/>
  <c r="G8" i="9"/>
  <c r="G4" i="9"/>
  <c r="G3" i="9" l="1"/>
  <c r="G7" i="9" l="1"/>
  <c r="G6" i="9"/>
  <c r="G5" i="9" l="1"/>
  <c r="D19" i="1" l="1"/>
  <c r="C19" i="1"/>
  <c r="D22" i="1" l="1"/>
  <c r="C22" i="1"/>
  <c r="C23" i="1" s="1"/>
  <c r="D20" i="1" l="1"/>
  <c r="D21" i="1"/>
  <c r="C20" i="1"/>
  <c r="D23" i="1" l="1"/>
  <c r="D24" i="1"/>
  <c r="C24" i="1"/>
</calcChain>
</file>

<file path=xl/sharedStrings.xml><?xml version="1.0" encoding="utf-8"?>
<sst xmlns="http://schemas.openxmlformats.org/spreadsheetml/2006/main" count="267" uniqueCount="160">
  <si>
    <t>TICKER</t>
  </si>
  <si>
    <t>parameter</t>
  </si>
  <si>
    <t>High</t>
  </si>
  <si>
    <t>Name:</t>
  </si>
  <si>
    <t>Sector:</t>
  </si>
  <si>
    <t>Previous Close:</t>
  </si>
  <si>
    <t>Market Open:</t>
  </si>
  <si>
    <t>Day High:</t>
  </si>
  <si>
    <t>Day Low:</t>
  </si>
  <si>
    <t>Market Capital:</t>
  </si>
  <si>
    <t>52 week high:</t>
  </si>
  <si>
    <t>52 week low:</t>
  </si>
  <si>
    <t>Time Scale:</t>
  </si>
  <si>
    <t>Chart time ranges:</t>
  </si>
  <si>
    <t>5y</t>
  </si>
  <si>
    <t>1y</t>
  </si>
  <si>
    <t>10d</t>
  </si>
  <si>
    <t>1d</t>
  </si>
  <si>
    <t>Value</t>
  </si>
  <si>
    <t>upper y-axis:</t>
  </si>
  <si>
    <t>lower y-axis:</t>
  </si>
  <si>
    <t>lower x-axis:</t>
  </si>
  <si>
    <t>EBITDA</t>
  </si>
  <si>
    <t>LT Debt</t>
  </si>
  <si>
    <t>Market Capital</t>
  </si>
  <si>
    <t>Cash held</t>
  </si>
  <si>
    <t>Cash Yield</t>
  </si>
  <si>
    <t>EV Multiple</t>
  </si>
  <si>
    <t>Div c/s</t>
  </si>
  <si>
    <t>Mean Value</t>
  </si>
  <si>
    <t>Std. Dev.</t>
  </si>
  <si>
    <t>Min. value</t>
  </si>
  <si>
    <t>Max. value</t>
  </si>
  <si>
    <t>$AUD in million except dividend value</t>
  </si>
  <si>
    <t>To Do:</t>
  </si>
  <si>
    <t>Add loading screen when running script</t>
  </si>
  <si>
    <t>package pythons into standalone executables</t>
  </si>
  <si>
    <t>Fair Value (MS):</t>
  </si>
  <si>
    <t>units</t>
  </si>
  <si>
    <t>format</t>
  </si>
  <si>
    <t>yyyy</t>
  </si>
  <si>
    <t>mmm</t>
  </si>
  <si>
    <t>x-axis units:</t>
  </si>
  <si>
    <t>x-axis format:</t>
  </si>
  <si>
    <t>x-axis angle:</t>
  </si>
  <si>
    <t>angle</t>
  </si>
  <si>
    <t>h AM/PM</t>
  </si>
  <si>
    <t>don’t refresh if already have data file - but add button to wipe</t>
  </si>
  <si>
    <t>Volume (30 day avg.):</t>
  </si>
  <si>
    <t>Stock Summary</t>
  </si>
  <si>
    <t>Historical Financials</t>
  </si>
  <si>
    <t>Uncertainty Rating:</t>
  </si>
  <si>
    <t>Median Value</t>
  </si>
  <si>
    <t>value</t>
  </si>
  <si>
    <t>name</t>
  </si>
  <si>
    <t>price</t>
  </si>
  <si>
    <t>open</t>
  </si>
  <si>
    <t>day low</t>
  </si>
  <si>
    <t>day high</t>
  </si>
  <si>
    <t>market cap</t>
  </si>
  <si>
    <t>volume</t>
  </si>
  <si>
    <t>sector</t>
  </si>
  <si>
    <t>industry</t>
  </si>
  <si>
    <t>Sales ($)</t>
  </si>
  <si>
    <t>Franking (%)</t>
  </si>
  <si>
    <t>--</t>
  </si>
  <si>
    <t>Dividend Yield (%)</t>
  </si>
  <si>
    <t>+/- Market (%)</t>
  </si>
  <si>
    <t>Revenues (m)</t>
  </si>
  <si>
    <t>EBITDA (m)</t>
  </si>
  <si>
    <t>Depreciation (m)</t>
  </si>
  <si>
    <t>Amortisation (m)</t>
  </si>
  <si>
    <t>EBIT (m)</t>
  </si>
  <si>
    <t>Data file:</t>
  </si>
  <si>
    <t>max</t>
  </si>
  <si>
    <t>6mo</t>
  </si>
  <si>
    <t>3mo</t>
  </si>
  <si>
    <t>1mo</t>
  </si>
  <si>
    <t>d/mm</t>
  </si>
  <si>
    <t>resolution:</t>
  </si>
  <si>
    <t>upper x-axis</t>
  </si>
  <si>
    <t>d/m</t>
  </si>
  <si>
    <t>time</t>
  </si>
  <si>
    <t>52 week low</t>
  </si>
  <si>
    <t>52 week high</t>
  </si>
  <si>
    <t>Industry:</t>
  </si>
  <si>
    <t>day change cents</t>
  </si>
  <si>
    <t>day change %</t>
  </si>
  <si>
    <t>Cash Flow ($)</t>
  </si>
  <si>
    <t>Earnings ($)</t>
  </si>
  <si>
    <t>Dividends ($)</t>
  </si>
  <si>
    <t>Capital Spending ($)</t>
  </si>
  <si>
    <t>Book Value ($)</t>
  </si>
  <si>
    <t>Shares Outstanding (m)</t>
  </si>
  <si>
    <t>Total Return (%)</t>
  </si>
  <si>
    <t>+/- ASX Sector (%)</t>
  </si>
  <si>
    <t>Average Annual P/E Ratio</t>
  </si>
  <si>
    <t>Relative P/E Ratio</t>
  </si>
  <si>
    <t>Long-Term Debt (m)</t>
  </si>
  <si>
    <t>Shareholders Equity (m)</t>
  </si>
  <si>
    <t>Market Capitalisation (m)</t>
  </si>
  <si>
    <t>Employees (k)</t>
  </si>
  <si>
    <t>NTA Per Share ($)</t>
  </si>
  <si>
    <t>Net Interest Cover (%)</t>
  </si>
  <si>
    <t>Net Gearing (%)</t>
  </si>
  <si>
    <t>Return on Equity (%)</t>
  </si>
  <si>
    <t>Return on Capital (%)</t>
  </si>
  <si>
    <t>Per Share</t>
  </si>
  <si>
    <t>Trend</t>
  </si>
  <si>
    <t>Performance</t>
  </si>
  <si>
    <t>Capitalisation</t>
  </si>
  <si>
    <t>Management &amp; Leverage</t>
  </si>
  <si>
    <t>Earning Before Tax &amp; Abnormals (m)</t>
  </si>
  <si>
    <t>Income Tax Rate (%)</t>
  </si>
  <si>
    <t>Net Profit After Abnormals (m)</t>
  </si>
  <si>
    <t>Operating Margin (%)</t>
  </si>
  <si>
    <t>Net Profit Ratio (%)</t>
  </si>
  <si>
    <t>Payout Ratio (%)</t>
  </si>
  <si>
    <t>Receipts from Customers (m)</t>
  </si>
  <si>
    <t>Net Operating Cashflow (m)</t>
  </si>
  <si>
    <t>Net Investing Cashflow (m)</t>
  </si>
  <si>
    <t>Net Financing Cashflow (m)</t>
  </si>
  <si>
    <t>Income Summary</t>
  </si>
  <si>
    <t>Income &amp; Profitability (%)</t>
  </si>
  <si>
    <t>Cash Flow</t>
  </si>
  <si>
    <t>As of 17/04/2020 05:36 PM (20 min delay)</t>
  </si>
  <si>
    <t>Total Debt (m)</t>
  </si>
  <si>
    <t>Long Term Debt (m)</t>
  </si>
  <si>
    <t>Preferred Stock (m)</t>
  </si>
  <si>
    <t>Type</t>
  </si>
  <si>
    <t>Cash Assets ($)</t>
  </si>
  <si>
    <t>Receivables ($)</t>
  </si>
  <si>
    <t>Inventories ($)</t>
  </si>
  <si>
    <t>Other Current Assets ($)</t>
  </si>
  <si>
    <t>Total Current Assets ($)</t>
  </si>
  <si>
    <t>Accounts Payable ($)</t>
  </si>
  <si>
    <t>Other Current Liabilities ($)</t>
  </si>
  <si>
    <t>Total Current Liabilities ($)</t>
  </si>
  <si>
    <t>Total Liabilities ($)</t>
  </si>
  <si>
    <t>fair value</t>
  </si>
  <si>
    <t>fair uncertainty</t>
  </si>
  <si>
    <t>previous close</t>
  </si>
  <si>
    <t>WPL</t>
  </si>
  <si>
    <t>Woodside Petroleum Limited</t>
  </si>
  <si>
    <t>$20118 M</t>
  </si>
  <si>
    <t>Energy</t>
  </si>
  <si>
    <t>2010/12</t>
  </si>
  <si>
    <t>2011/12</t>
  </si>
  <si>
    <t>2012/12</t>
  </si>
  <si>
    <t>2013/12</t>
  </si>
  <si>
    <t>2014/12</t>
  </si>
  <si>
    <t>2015/12</t>
  </si>
  <si>
    <t>2016/12</t>
  </si>
  <si>
    <t>2017/12</t>
  </si>
  <si>
    <t>2018/12</t>
  </si>
  <si>
    <t>2019/12</t>
  </si>
  <si>
    <t>$17,048.00 ($456.75 Interest)</t>
  </si>
  <si>
    <t>$9,589.00 (29% of capital)</t>
  </si>
  <si>
    <t>$24,849.00 (71% of capital)</t>
  </si>
  <si>
    <t>Short Term Debt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</si>
</sst>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&quot;$&quot;#,##0"/>
    <numFmt numFmtId="167" formatCode="0.000"/>
    <numFmt numFmtId="168" formatCode="0.000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6"/>
      <color theme="1"/>
      <name val="Arial Narrow"/>
      <family val="2"/>
    </font>
    <font>
      <b/>
      <sz val="16"/>
      <color rgb="FFFF0000"/>
      <name val="Arial Narrow"/>
      <family val="2"/>
    </font>
    <font>
      <sz val="11"/>
      <color theme="1"/>
      <name val="Arial Narrow"/>
      <family val="2"/>
    </font>
    <font>
      <sz val="11"/>
      <color theme="5"/>
      <name val="Arial Narrow"/>
      <family val="2"/>
    </font>
    <font>
      <b/>
      <sz val="16"/>
      <color theme="5"/>
      <name val="Arial Narrow"/>
      <family val="2"/>
    </font>
    <font>
      <b/>
      <sz val="11"/>
      <color theme="5"/>
      <name val="Arial Narrow"/>
      <family val="2"/>
    </font>
    <font>
      <sz val="9"/>
      <color theme="1" tint="0.1499984740745262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4" fontId="5" fillId="0" borderId="0" xfId="0" applyNumberFormat="1" applyFont="1"/>
    <xf numFmtId="0" fontId="5" fillId="0" borderId="0" xfId="0" applyFont="1" applyAlignment="1">
      <alignment horizontal="center"/>
    </xf>
    <xf numFmtId="0" fontId="0" fillId="0" borderId="0" xfId="0" applyNumberFormat="1"/>
    <xf numFmtId="0" fontId="5" fillId="0" borderId="0" xfId="0" applyFont="1" applyAlignment="1">
      <alignment horizontal="center" vertical="center"/>
    </xf>
    <xf numFmtId="2" fontId="5" fillId="0" borderId="0" xfId="0" applyNumberFormat="1" applyFont="1"/>
    <xf numFmtId="0" fontId="2" fillId="0" borderId="0" xfId="0" applyFont="1"/>
    <xf numFmtId="166" fontId="5" fillId="0" borderId="1" xfId="2" applyNumberFormat="1" applyFont="1" applyBorder="1" applyAlignment="1">
      <alignment horizontal="center" vertical="center"/>
    </xf>
    <xf numFmtId="2" fontId="5" fillId="0" borderId="1" xfId="2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44" fontId="5" fillId="0" borderId="1" xfId="2" applyFont="1" applyBorder="1" applyAlignment="1">
      <alignment horizontal="left"/>
    </xf>
    <xf numFmtId="0" fontId="7" fillId="4" borderId="1" xfId="0" applyFont="1" applyFill="1" applyBorder="1" applyAlignment="1">
      <alignment horizontal="center" vertical="center"/>
    </xf>
    <xf numFmtId="44" fontId="3" fillId="0" borderId="1" xfId="2" applyFont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44" fontId="5" fillId="0" borderId="1" xfId="2" applyFont="1" applyBorder="1" applyAlignment="1">
      <alignment horizontal="center" vertical="center"/>
    </xf>
    <xf numFmtId="44" fontId="5" fillId="0" borderId="1" xfId="2" applyFont="1" applyBorder="1" applyAlignment="1">
      <alignment vertical="center"/>
    </xf>
    <xf numFmtId="164" fontId="5" fillId="0" borderId="1" xfId="1" applyNumberFormat="1" applyFont="1" applyBorder="1" applyAlignment="1">
      <alignment vertical="center"/>
    </xf>
    <xf numFmtId="0" fontId="6" fillId="4" borderId="1" xfId="0" applyFont="1" applyFill="1" applyBorder="1" applyAlignment="1">
      <alignment horizontal="right" vertical="center"/>
    </xf>
    <xf numFmtId="0" fontId="6" fillId="4" borderId="1" xfId="0" applyFont="1" applyFill="1" applyBorder="1"/>
    <xf numFmtId="0" fontId="5" fillId="0" borderId="1" xfId="0" applyFont="1" applyBorder="1"/>
    <xf numFmtId="0" fontId="5" fillId="0" borderId="1" xfId="0" applyFont="1" applyFill="1" applyBorder="1" applyAlignment="1">
      <alignment horizontal="right"/>
    </xf>
    <xf numFmtId="165" fontId="5" fillId="0" borderId="1" xfId="3" applyNumberFormat="1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0" fontId="5" fillId="0" borderId="1" xfId="3" applyNumberFormat="1" applyFont="1" applyBorder="1" applyAlignment="1">
      <alignment horizontal="center"/>
    </xf>
    <xf numFmtId="10" fontId="5" fillId="0" borderId="1" xfId="3" applyNumberFormat="1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5" fillId="0" borderId="0" xfId="0" applyNumberFormat="1" applyFont="1"/>
    <xf numFmtId="0" fontId="8" fillId="3" borderId="1" xfId="0" applyFont="1" applyFill="1" applyBorder="1"/>
    <xf numFmtId="166" fontId="5" fillId="0" borderId="0" xfId="0" applyNumberFormat="1" applyFont="1"/>
    <xf numFmtId="8" fontId="0" fillId="0" borderId="0" xfId="0" applyNumberFormat="1"/>
    <xf numFmtId="2" fontId="0" fillId="0" borderId="0" xfId="0" applyNumberFormat="1"/>
    <xf numFmtId="22" fontId="0" fillId="0" borderId="0" xfId="0" applyNumberFormat="1"/>
    <xf numFmtId="167" fontId="0" fillId="0" borderId="0" xfId="0" applyNumberFormat="1"/>
    <xf numFmtId="18" fontId="0" fillId="0" borderId="0" xfId="0" applyNumberFormat="1"/>
    <xf numFmtId="168" fontId="0" fillId="0" borderId="0" xfId="0" applyNumberFormat="1"/>
    <xf numFmtId="0" fontId="9" fillId="0" borderId="0" xfId="0" applyFont="1" applyAlignment="1">
      <alignment horizontal="right"/>
    </xf>
    <xf numFmtId="10" fontId="5" fillId="0" borderId="0" xfId="3" applyNumberFormat="1" applyFont="1"/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8" fontId="5" fillId="0" borderId="1" xfId="2" applyNumberFormat="1" applyFont="1" applyBorder="1" applyAlignment="1">
      <alignment vertical="center"/>
    </xf>
    <xf numFmtId="14" fontId="0" fillId="0" borderId="0" xfId="0" applyNumberFormat="1" applyFont="1" applyAlignment="1">
      <alignment horizontal="left" vertic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9">
    <dxf>
      <font>
        <color rgb="FF00B05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00B05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C00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/>
              <a:t>Historical Stock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[0]!DATES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'historical price'!$A$2:$A$1048576</c:f>
              <c:numCache>
                <c:formatCode>General</c:formatCode>
                <c:ptCount val="1048575"/>
              </c:numCache>
            </c:numRef>
          </c:cat>
          <c:val>
            <c:numRef>
              <c:f>[0]!PRICES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89-42AE-90AD-760BCC7DC94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132-4A99-9492-1071A1AF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4498256"/>
        <c:axId val="1136364560"/>
      </c:lineChart>
      <c:catAx>
        <c:axId val="103449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36364560"/>
        <c:crosses val="autoZero"/>
        <c:auto val="0"/>
        <c:lblAlgn val="ctr"/>
        <c:lblOffset val="100"/>
        <c:tickLblSkip val="235"/>
        <c:tickMarkSkip val="235"/>
        <c:noMultiLvlLbl val="1"/>
      </c:catAx>
      <c:valAx>
        <c:axId val="1136364560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AU"/>
                  <a:t>Share Value ($AUD)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034498256"/>
        <c:crosses val="autoZero"/>
        <c:crossBetween val="between"/>
      </c:valAx>
      <c:spPr>
        <a:noFill/>
        <a:ln>
          <a:solidFill>
            <a:schemeClr val="tx1">
              <a:lumMod val="75000"/>
              <a:lumOff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bg2">
            <a:lumMod val="25000"/>
          </a:schemeClr>
        </a:gs>
        <a:gs pos="58000">
          <a:schemeClr val="tx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75000"/>
            </a:schemeClr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EBITDA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strRef>
              <c:f>MAIN!$C$27:$L$27</c:f>
              <c:strCache>
                <c:ptCount val="10"/>
                <c:pt idx="0">
                  <c:v>2010/12</c:v>
                </c:pt>
                <c:pt idx="1">
                  <c:v>2011/12</c:v>
                </c:pt>
                <c:pt idx="2">
                  <c:v>2012/12</c:v>
                </c:pt>
                <c:pt idx="3">
                  <c:v>2013/12</c:v>
                </c:pt>
                <c:pt idx="4">
                  <c:v>2014/12</c:v>
                </c:pt>
                <c:pt idx="5">
                  <c:v>2015/12</c:v>
                </c:pt>
                <c:pt idx="6">
                  <c:v>2016/12</c:v>
                </c:pt>
                <c:pt idx="7">
                  <c:v>2017/12</c:v>
                </c:pt>
                <c:pt idx="8">
                  <c:v>2018/12</c:v>
                </c:pt>
                <c:pt idx="9">
                  <c:v>2019/12</c:v>
                </c:pt>
              </c:strCache>
            </c:strRef>
          </c:xVal>
          <c:yVal>
            <c:numRef>
              <c:f>MAIN!$C$28:$L$28</c:f>
              <c:numCache>
                <c:formatCode>"$"#,##0</c:formatCode>
                <c:ptCount val="10"/>
                <c:pt idx="0">
                  <c:v>2766.9</c:v>
                </c:pt>
                <c:pt idx="1">
                  <c:v>2968.69</c:v>
                </c:pt>
                <c:pt idx="2">
                  <c:v>3907.94</c:v>
                </c:pt>
                <c:pt idx="3">
                  <c:v>4195.3500000000004</c:v>
                </c:pt>
                <c:pt idx="4">
                  <c:v>6259.45</c:v>
                </c:pt>
                <c:pt idx="5">
                  <c:v>2680</c:v>
                </c:pt>
                <c:pt idx="6">
                  <c:v>3742</c:v>
                </c:pt>
                <c:pt idx="7">
                  <c:v>3638</c:v>
                </c:pt>
                <c:pt idx="8">
                  <c:v>5341</c:v>
                </c:pt>
                <c:pt idx="9">
                  <c:v>3991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2C-49C9-A376-850AD8AB9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498256"/>
        <c:axId val="1136364560"/>
      </c:scatterChart>
      <c:valAx>
        <c:axId val="103449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36364560"/>
        <c:crosses val="autoZero"/>
        <c:crossBetween val="midCat"/>
      </c:valAx>
      <c:valAx>
        <c:axId val="11363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AU"/>
                  <a:t>EBITDA ($M AUD)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034498256"/>
        <c:crosses val="autoZero"/>
        <c:crossBetween val="midCat"/>
      </c:valAx>
      <c:spPr>
        <a:noFill/>
        <a:ln>
          <a:solidFill>
            <a:schemeClr val="tx1">
              <a:lumMod val="75000"/>
              <a:lumOff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bg2">
            <a:lumMod val="25000"/>
          </a:schemeClr>
        </a:gs>
        <a:gs pos="58000">
          <a:schemeClr val="tx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75000"/>
            </a:schemeClr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52386</xdr:rowOff>
    </xdr:from>
    <xdr:to>
      <xdr:col>11</xdr:col>
      <xdr:colOff>419100</xdr:colOff>
      <xdr:row>19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58943B-B716-4CF9-8ECB-E8E4DCE484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2</xdr:row>
      <xdr:rowOff>47625</xdr:rowOff>
    </xdr:from>
    <xdr:to>
      <xdr:col>14</xdr:col>
      <xdr:colOff>38100</xdr:colOff>
      <xdr:row>19</xdr:row>
      <xdr:rowOff>138114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B1DBE3-C718-43C7-B001-B5C0172F2B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4FA50-F589-468D-A941-8AD4947A988C}">
  <sheetPr codeName="Sheet1"/>
  <dimension ref="B2:Q38"/>
  <sheetViews>
    <sheetView tabSelected="1" topLeftCell="A7" zoomScaleNormal="100" workbookViewId="0">
      <selection activeCell="H22" sqref="H22"/>
    </sheetView>
  </sheetViews>
  <sheetFormatPr defaultRowHeight="16.5" x14ac:dyDescent="0.3"/>
  <cols>
    <col min="1" max="1" width="9.140625" style="4"/>
    <col min="2" max="2" width="16.42578125" style="4" customWidth="1"/>
    <col min="3" max="3" width="28.7109375" style="4" customWidth="1"/>
    <col min="4" max="4" width="11" style="4" bestFit="1" customWidth="1"/>
    <col min="5" max="5" width="20" style="4" customWidth="1"/>
    <col min="6" max="6" width="12.7109375" style="4" customWidth="1"/>
    <col min="7" max="7" width="21.85546875" style="4" customWidth="1"/>
    <col min="8" max="8" width="11.28515625" style="4" customWidth="1"/>
    <col min="9" max="9" width="13.5703125" style="4" customWidth="1"/>
    <col min="10" max="10" width="13" style="4" customWidth="1"/>
    <col min="11" max="11" width="14.5703125" style="4" customWidth="1"/>
    <col min="12" max="12" width="12" style="4" customWidth="1"/>
    <col min="13" max="13" width="21.7109375" style="4" customWidth="1"/>
    <col min="14" max="14" width="18.140625" style="4" customWidth="1"/>
    <col min="15" max="16" width="9.140625" style="4"/>
    <col min="17" max="17" width="9.140625" style="4" customWidth="1"/>
    <col min="18" max="16384" width="9.140625" style="4"/>
  </cols>
  <sheetData>
    <row r="2" spans="2:17" ht="30.75" customHeight="1" x14ac:dyDescent="0.3">
      <c r="B2" s="19" t="s">
        <v>0</v>
      </c>
      <c r="C2" s="21" t="s">
        <v>142</v>
      </c>
      <c r="E2" s="25" t="s">
        <v>5</v>
      </c>
      <c r="F2" s="22">
        <f>IFERROR(VLOOKUP("previous close",'stock summary'!$A$2:$B$19,2,FALSE),"no data")</f>
        <v>21.08</v>
      </c>
      <c r="G2" s="25" t="s">
        <v>6</v>
      </c>
      <c r="H2" s="49">
        <f>IFERROR(VLOOKUP("open",'stock summary'!$A$2:$B$19,2,FALSE),"no data")</f>
        <v>20.99</v>
      </c>
      <c r="I2" s="25" t="s">
        <v>7</v>
      </c>
      <c r="J2" s="23">
        <f>IFERROR(VLOOKUP("day high",'stock summary'!$A$2:$B$19,2,FALSE),"no data")</f>
        <v>21.45</v>
      </c>
      <c r="K2" s="25" t="s">
        <v>8</v>
      </c>
      <c r="L2" s="23">
        <f>IFERROR(VLOOKUP("day low",'stock summary'!$A$2:$B$19,2,FALSE),"no data")</f>
        <v>20.9</v>
      </c>
      <c r="M2" s="25" t="s">
        <v>48</v>
      </c>
      <c r="N2" s="24">
        <f>IFERROR(VLOOKUP("volume",'stock summary'!$A$2:$B$19,2,FALSE),"no data")</f>
        <v>5750113</v>
      </c>
    </row>
    <row r="3" spans="2:17" ht="15" customHeight="1" x14ac:dyDescent="0.3">
      <c r="B3" s="2"/>
      <c r="C3" s="3"/>
      <c r="E3" s="5"/>
      <c r="G3" s="5"/>
      <c r="I3" s="5"/>
      <c r="K3" s="5"/>
      <c r="M3" s="5"/>
    </row>
    <row r="4" spans="2:17" ht="39.75" customHeight="1" x14ac:dyDescent="0.3">
      <c r="B4" s="19" t="s">
        <v>18</v>
      </c>
      <c r="C4" s="20">
        <f>IFERROR(VLOOKUP("price",'stock summary'!$A$2:$B$18,2,FALSE),"no data")</f>
        <v>21.08</v>
      </c>
      <c r="E4" s="6"/>
      <c r="F4" s="6"/>
      <c r="M4" s="11"/>
      <c r="Q4" s="40"/>
    </row>
    <row r="5" spans="2:17" ht="16.5" customHeight="1" x14ac:dyDescent="0.3">
      <c r="C5" s="44" t="str">
        <f>IFERROR(VLOOKUP("time",'stock summary'!$A$2:$B$18,2,FALSE),"no data")</f>
        <v>As of 17/04/2020 05:36 PM (20 min delay)</v>
      </c>
      <c r="M5" s="11"/>
    </row>
    <row r="6" spans="2:17" ht="16.5" customHeight="1" x14ac:dyDescent="0.3">
      <c r="B6" s="8"/>
      <c r="C6" s="44" t="str">
        <f>"Day change "&amp;IFERROR(VLOOKUP("day change %",'stock summary'!$A$2:$B$18,2,FALSE),"no data")&amp;"%"&amp;" / $"&amp;IFERROR(VLOOKUP("day change cents",'stock summary'!$A$2:$B$18,2,FALSE),"no data")</f>
        <v>Day change 0.76% / $0.16</v>
      </c>
      <c r="D6" s="50" t="str">
        <f>IF(VLOOKUP("day change %",'stock summary'!$A$2:$B$19,2,FALSE)&gt;0,"↑","↓")</f>
        <v>↑</v>
      </c>
    </row>
    <row r="7" spans="2:17" ht="20.25" x14ac:dyDescent="0.3">
      <c r="B7" s="36" t="s">
        <v>37</v>
      </c>
      <c r="C7" s="20">
        <f>IFERROR(IFERROR(VLOOKUP("fair value",'stock summary'!$A$2:$B$18,2,FALSE),"no data"),"no data")</f>
        <v>44.6</v>
      </c>
    </row>
    <row r="8" spans="2:17" x14ac:dyDescent="0.3">
      <c r="B8" s="17" t="s">
        <v>51</v>
      </c>
      <c r="C8" s="28" t="str">
        <f>IFERROR(IFERROR(VLOOKUP("fair uncertainty",'stock summary'!$A$2:$B$18,2,FALSE),"no data"),"no data")</f>
        <v>High</v>
      </c>
    </row>
    <row r="9" spans="2:17" x14ac:dyDescent="0.3">
      <c r="C9" s="44" t="str">
        <f>IF(C7/C4-1&gt;0,ROUND((C7/C4-1)*100,0)&amp;"% undervalued (morningstar)",ROUND((C7/C4-1)*100,0)&amp;"% overvalued (morningstar)")</f>
        <v>112% undervalued (morningstar)</v>
      </c>
    </row>
    <row r="11" spans="2:17" x14ac:dyDescent="0.3">
      <c r="B11" s="46" t="s">
        <v>49</v>
      </c>
      <c r="C11" s="48"/>
      <c r="M11" s="7"/>
    </row>
    <row r="12" spans="2:17" x14ac:dyDescent="0.3">
      <c r="B12" s="17" t="s">
        <v>3</v>
      </c>
      <c r="C12" s="28" t="str">
        <f>IFERROR(VLOOKUP("name",'stock summary'!$A$2:$B$18,2,FALSE),"no data")</f>
        <v>Woodside Petroleum Limited</v>
      </c>
    </row>
    <row r="13" spans="2:17" x14ac:dyDescent="0.3">
      <c r="B13" s="17" t="s">
        <v>4</v>
      </c>
      <c r="C13" s="28" t="str">
        <f>IFERROR(VLOOKUP("sector",'stock summary'!$A$2:$B$18,2,FALSE),"no data")</f>
        <v>Energy</v>
      </c>
      <c r="M13" s="7"/>
    </row>
    <row r="14" spans="2:17" x14ac:dyDescent="0.3">
      <c r="B14" s="17" t="s">
        <v>85</v>
      </c>
      <c r="C14" s="28" t="str">
        <f>IFERROR(VLOOKUP("industry",'stock summary'!$A$2:$B$18,2,FALSE),"no data")</f>
        <v>Energy</v>
      </c>
    </row>
    <row r="15" spans="2:17" x14ac:dyDescent="0.3">
      <c r="B15" s="17" t="s">
        <v>9</v>
      </c>
      <c r="C15" s="28" t="str">
        <f>IFERROR(VLOOKUP("market cap",'stock summary'!$A$2:$B$18,2,FALSE),"no data")</f>
        <v>$20118 M</v>
      </c>
    </row>
    <row r="16" spans="2:17" x14ac:dyDescent="0.3">
      <c r="B16" s="17" t="s">
        <v>10</v>
      </c>
      <c r="C16" s="18">
        <f>IFERROR(VLOOKUP("52 week high",'stock summary'!$A$2:$B$18,2,FALSE),"no data")</f>
        <v>37.549999999999997</v>
      </c>
    </row>
    <row r="17" spans="2:13" x14ac:dyDescent="0.3">
      <c r="B17" s="17" t="s">
        <v>11</v>
      </c>
      <c r="C17" s="18">
        <f>IFERROR(VLOOKUP("52 week low",'stock summary'!$A$2:$B$18,2,FALSE),"no data")</f>
        <v>14.93</v>
      </c>
    </row>
    <row r="19" spans="2:13" x14ac:dyDescent="0.3">
      <c r="B19" s="15"/>
      <c r="C19" s="34" t="str">
        <f>B32</f>
        <v>Cash Yield</v>
      </c>
      <c r="D19" s="34" t="str">
        <f>B33</f>
        <v>EV Multiple</v>
      </c>
    </row>
    <row r="20" spans="2:13" x14ac:dyDescent="0.3">
      <c r="B20" s="26" t="s">
        <v>52</v>
      </c>
      <c r="C20" s="29">
        <f>IFERROR(MEDIAN(C32:L32),"missing data")</f>
        <v>0.10617557786598179</v>
      </c>
      <c r="D20" s="30">
        <f>IFERROR(MEDIAN(C33:L33), "missing data")</f>
        <v>9.0686098722124786</v>
      </c>
    </row>
    <row r="21" spans="2:13" x14ac:dyDescent="0.3">
      <c r="B21" s="26" t="s">
        <v>29</v>
      </c>
      <c r="C21" s="31">
        <f>IFERROR(AVERAGE(C32:L32),"missing data")</f>
        <v>0.11151502911095754</v>
      </c>
      <c r="D21" s="30">
        <f>IFERROR(AVERAGE(C33:L33),"missing data")</f>
        <v>8.1615552575037924</v>
      </c>
      <c r="E21" s="4" t="s">
        <v>34</v>
      </c>
      <c r="J21" s="35"/>
    </row>
    <row r="22" spans="2:13" x14ac:dyDescent="0.3">
      <c r="B22" s="26" t="s">
        <v>30</v>
      </c>
      <c r="C22" s="32">
        <f>IFERROR(_xlfn.STDEV.S(C32:L32),"missing data")</f>
        <v>2.4666465370204647E-2</v>
      </c>
      <c r="D22" s="30">
        <f>IFERROR(_xlfn.STDEV.S(C33:L33),"missing data")</f>
        <v>1.7808774759183452</v>
      </c>
      <c r="E22" s="4" t="s">
        <v>35</v>
      </c>
      <c r="G22" s="26" t="s">
        <v>12</v>
      </c>
      <c r="H22" s="27" t="s">
        <v>75</v>
      </c>
      <c r="J22" s="45"/>
      <c r="L22" s="7"/>
      <c r="M22" s="9"/>
    </row>
    <row r="23" spans="2:13" x14ac:dyDescent="0.3">
      <c r="B23" s="26" t="s">
        <v>31</v>
      </c>
      <c r="C23" s="29">
        <f>IFERROR(C21-C22,"missing data")</f>
        <v>8.6848563740752893E-2</v>
      </c>
      <c r="D23" s="30">
        <f>IFERROR(D21-D22,"missing data")</f>
        <v>6.3806777815854474</v>
      </c>
      <c r="E23" s="4" t="s">
        <v>36</v>
      </c>
      <c r="J23" s="35"/>
      <c r="M23" s="35"/>
    </row>
    <row r="24" spans="2:13" x14ac:dyDescent="0.3">
      <c r="B24" s="26" t="s">
        <v>32</v>
      </c>
      <c r="C24" s="29">
        <f>IFERROR(C21+C22, "missing data")</f>
        <v>0.13618149448116218</v>
      </c>
      <c r="D24" s="30">
        <f>IFERROR(D21+D22, "missing data")</f>
        <v>9.9424327334221374</v>
      </c>
      <c r="E24" s="4" t="s">
        <v>47</v>
      </c>
      <c r="G24" s="7"/>
      <c r="H24" s="7"/>
    </row>
    <row r="25" spans="2:13" x14ac:dyDescent="0.3">
      <c r="E25" s="7"/>
    </row>
    <row r="26" spans="2:13" x14ac:dyDescent="0.3">
      <c r="B26" s="46" t="s">
        <v>50</v>
      </c>
      <c r="C26" s="47"/>
      <c r="D26" s="47"/>
      <c r="E26" s="47"/>
      <c r="F26" s="47"/>
      <c r="G26" s="47"/>
      <c r="H26" s="47"/>
      <c r="I26" s="47"/>
      <c r="J26" s="47"/>
      <c r="K26" s="47"/>
      <c r="L26" s="48"/>
    </row>
    <row r="27" spans="2:13" x14ac:dyDescent="0.3">
      <c r="B27" s="15"/>
      <c r="C27" s="34" t="str">
        <f>'historical financials'!B1</f>
        <v>2010/12</v>
      </c>
      <c r="D27" s="34" t="str">
        <f>'historical financials'!C1</f>
        <v>2011/12</v>
      </c>
      <c r="E27" s="34" t="str">
        <f>'historical financials'!D1</f>
        <v>2012/12</v>
      </c>
      <c r="F27" s="34" t="str">
        <f>'historical financials'!E1</f>
        <v>2013/12</v>
      </c>
      <c r="G27" s="34" t="str">
        <f>'historical financials'!F1</f>
        <v>2014/12</v>
      </c>
      <c r="H27" s="34" t="str">
        <f>'historical financials'!G1</f>
        <v>2015/12</v>
      </c>
      <c r="I27" s="34" t="str">
        <f>'historical financials'!H1</f>
        <v>2016/12</v>
      </c>
      <c r="J27" s="34" t="str">
        <f>'historical financials'!I1</f>
        <v>2017/12</v>
      </c>
      <c r="K27" s="34" t="str">
        <f>'historical financials'!J1</f>
        <v>2018/12</v>
      </c>
      <c r="L27" s="34" t="str">
        <f>'historical financials'!K1</f>
        <v>2019/12</v>
      </c>
    </row>
    <row r="28" spans="2:13" x14ac:dyDescent="0.3">
      <c r="B28" s="16" t="s">
        <v>22</v>
      </c>
      <c r="C28" s="13">
        <f>IF(HLOOKUP(C27,'historical financials'!$B$1:$K$19,5,FALSE)="--","no data",HLOOKUP(C27,'historical financials'!$B$1:$K$19,5,FALSE))</f>
        <v>2766.9</v>
      </c>
      <c r="D28" s="13">
        <f>IF(HLOOKUP(D27,'historical financials'!$B$1:$K$19,5,FALSE)="--","no data",HLOOKUP(D27,'historical financials'!$B$1:$K$19,5,FALSE))</f>
        <v>2968.69</v>
      </c>
      <c r="E28" s="13">
        <f>IF(HLOOKUP(E27,'historical financials'!$B$1:$K$19,5,FALSE)="--","no data",HLOOKUP(E27,'historical financials'!$B$1:$K$19,5,FALSE))</f>
        <v>3907.94</v>
      </c>
      <c r="F28" s="13">
        <f>IF(HLOOKUP(F27,'historical financials'!$B$1:$K$19,5,FALSE)="--","no data",HLOOKUP(F27,'historical financials'!$B$1:$K$19,5,FALSE))</f>
        <v>4195.3500000000004</v>
      </c>
      <c r="G28" s="13">
        <f>IF(HLOOKUP(G27,'historical financials'!$B$1:$K$19,5,FALSE)="--","no data",HLOOKUP(G27,'historical financials'!$B$1:$K$19,5,FALSE))</f>
        <v>6259.45</v>
      </c>
      <c r="H28" s="13">
        <f>IF(HLOOKUP(H27,'historical financials'!$B$1:$K$19,5,FALSE)="--","no data",HLOOKUP(H27,'historical financials'!$B$1:$K$19,5,FALSE))</f>
        <v>2680</v>
      </c>
      <c r="I28" s="13">
        <f>IF(HLOOKUP(I27,'historical financials'!$B$1:$K$19,5,FALSE)="--","no data",HLOOKUP(I27,'historical financials'!$B$1:$K$19,5,FALSE))</f>
        <v>3742</v>
      </c>
      <c r="J28" s="13">
        <f>IF(HLOOKUP(J27,'historical financials'!$B$1:$K$19,5,FALSE)="--","no data",HLOOKUP(J27,'historical financials'!$B$1:$K$19,5,FALSE))</f>
        <v>3638</v>
      </c>
      <c r="K28" s="13">
        <f>IF(HLOOKUP(K27,'historical financials'!$B$1:$K$19,5,FALSE)="--","no data",HLOOKUP(K27,'historical financials'!$B$1:$K$19,5,FALSE))</f>
        <v>5341</v>
      </c>
      <c r="L28" s="13">
        <f>IF(HLOOKUP(L27,'historical financials'!$B$1:$K$19,5,FALSE)="--","no data",HLOOKUP(L27,'historical financials'!$B$1:$K$19,5,FALSE))</f>
        <v>3991</v>
      </c>
    </row>
    <row r="29" spans="2:13" x14ac:dyDescent="0.3">
      <c r="B29" s="16" t="s">
        <v>23</v>
      </c>
      <c r="C29" s="13">
        <f>IF(HLOOKUP(C27,'historical statistics'!$B$1:$K$26,18,FALSE)="--","no data",HLOOKUP(C27,'historical statistics'!$B$1:$K$26,18,FALSE))</f>
        <v>4439.6000000000004</v>
      </c>
      <c r="D29" s="13">
        <f>IF(HLOOKUP(D27,'historical statistics'!$B$1:$K$26,18,FALSE)="--","no data",HLOOKUP(D27,'historical statistics'!$B$1:$K$26,18,FALSE))</f>
        <v>4265.5</v>
      </c>
      <c r="E29" s="13">
        <f>IF(HLOOKUP(E27,'historical statistics'!$B$1:$K$26,18,FALSE)="--","no data",HLOOKUP(E27,'historical statistics'!$B$1:$K$26,18,FALSE))</f>
        <v>3625.8</v>
      </c>
      <c r="F29" s="13">
        <f>IF(HLOOKUP(F27,'historical statistics'!$B$1:$K$26,18,FALSE)="--","no data",HLOOKUP(F27,'historical statistics'!$B$1:$K$26,18,FALSE))</f>
        <v>2891.1</v>
      </c>
      <c r="G29" s="13">
        <f>IF(HLOOKUP(G27,'historical statistics'!$B$1:$K$26,18,FALSE)="--","no data",HLOOKUP(G27,'historical statistics'!$B$1:$K$26,18,FALSE))</f>
        <v>2386</v>
      </c>
      <c r="H29" s="13">
        <f>IF(HLOOKUP(H27,'historical statistics'!$B$1:$K$26,18,FALSE)="--","no data",HLOOKUP(H27,'historical statistics'!$B$1:$K$26,18,FALSE))</f>
        <v>5973</v>
      </c>
      <c r="I29" s="13">
        <f>IF(HLOOKUP(I27,'historical statistics'!$B$1:$K$26,18,FALSE)="--","no data",HLOOKUP(I27,'historical statistics'!$B$1:$K$26,18,FALSE))</f>
        <v>6768</v>
      </c>
      <c r="J29" s="13">
        <f>IF(HLOOKUP(J27,'historical statistics'!$B$1:$K$26,18,FALSE)="--","no data",HLOOKUP(J27,'historical statistics'!$B$1:$K$26,18,FALSE))</f>
        <v>6396</v>
      </c>
      <c r="K29" s="13">
        <f>IF(HLOOKUP(K27,'historical statistics'!$B$1:$K$26,18,FALSE)="--","no data",HLOOKUP(K27,'historical statistics'!$B$1:$K$26,18,FALSE))</f>
        <v>5684</v>
      </c>
      <c r="L29" s="13">
        <f>IF(HLOOKUP(L27,'historical statistics'!$B$1:$K$26,18,FALSE)="--","no data",HLOOKUP(L27,'historical statistics'!$B$1:$K$26,18,FALSE))</f>
        <v>9589</v>
      </c>
    </row>
    <row r="30" spans="2:13" x14ac:dyDescent="0.3">
      <c r="B30" s="16" t="s">
        <v>24</v>
      </c>
      <c r="C30" s="13" t="str">
        <f>IF(HLOOKUP(C27,'historical statistics'!$B$1:$K$26,20,FALSE)="--","no data",HLOOKUP(C27,'historical statistics'!$B$1:$K$26,20,FALSE))</f>
        <v>no data</v>
      </c>
      <c r="D30" s="13" t="str">
        <f>IF(HLOOKUP(D27,'historical statistics'!$B$1:$K$26,20,FALSE)="--","no data",HLOOKUP(D27,'historical statistics'!$B$1:$K$26,20,FALSE))</f>
        <v>no data</v>
      </c>
      <c r="E30" s="13" t="str">
        <f>IF(HLOOKUP(E27,'historical statistics'!$B$1:$K$26,20,FALSE)="--","no data",HLOOKUP(E27,'historical statistics'!$B$1:$K$26,20,FALSE))</f>
        <v>no data</v>
      </c>
      <c r="F30" s="13" t="str">
        <f>IF(HLOOKUP(F27,'historical statistics'!$B$1:$K$26,20,FALSE)="--","no data",HLOOKUP(F27,'historical statistics'!$B$1:$K$26,20,FALSE))</f>
        <v>no data</v>
      </c>
      <c r="G30" s="13" t="str">
        <f>IF(HLOOKUP(G27,'historical statistics'!$B$1:$K$26,20,FALSE)="--","no data",HLOOKUP(G27,'historical statistics'!$B$1:$K$26,20,FALSE))</f>
        <v>no data</v>
      </c>
      <c r="H30" s="13">
        <f>IF(HLOOKUP(H27,'historical statistics'!$B$1:$K$26,20,FALSE)="--","no data",HLOOKUP(H27,'historical statistics'!$B$1:$K$26,20,FALSE))</f>
        <v>23663</v>
      </c>
      <c r="I30" s="13">
        <f>IF(HLOOKUP(I27,'historical statistics'!$B$1:$K$26,20,FALSE)="--","no data",HLOOKUP(I27,'historical statistics'!$B$1:$K$26,20,FALSE))</f>
        <v>26251</v>
      </c>
      <c r="J30" s="13">
        <f>IF(HLOOKUP(J27,'historical statistics'!$B$1:$K$26,20,FALSE)="--","no data",HLOOKUP(J27,'historical statistics'!$B$1:$K$26,20,FALSE))</f>
        <v>27868</v>
      </c>
      <c r="K30" s="13">
        <f>IF(HLOOKUP(K27,'historical statistics'!$B$1:$K$26,20,FALSE)="--","no data",HLOOKUP(K27,'historical statistics'!$B$1:$K$26,20,FALSE))</f>
        <v>29320</v>
      </c>
      <c r="L30" s="13">
        <f>IF(HLOOKUP(L27,'historical statistics'!$B$1:$K$26,20,FALSE)="--","no data",HLOOKUP(L27,'historical statistics'!$B$1:$K$26,20,FALSE))</f>
        <v>32396</v>
      </c>
      <c r="M30" s="37"/>
    </row>
    <row r="31" spans="2:13" x14ac:dyDescent="0.3">
      <c r="B31" s="16" t="s">
        <v>25</v>
      </c>
      <c r="C31" s="13" t="str">
        <f>IFERROR(HLOOKUP(INT(LEFT(C27,4)),'balance sheet'!$B$5:$D$15,2,FALSE)/10^6,"no data")</f>
        <v>no data</v>
      </c>
      <c r="D31" s="13" t="str">
        <f>IFERROR(HLOOKUP(INT(LEFT(D27,4)),'balance sheet'!$B$5:$D$15,2,FALSE)/10^6,"no data")</f>
        <v>no data</v>
      </c>
      <c r="E31" s="13" t="str">
        <f>IFERROR(HLOOKUP(INT(LEFT(E27,4)),'balance sheet'!$B$5:$D$15,2,FALSE)/10^6,"no data")</f>
        <v>no data</v>
      </c>
      <c r="F31" s="13" t="str">
        <f>IFERROR(HLOOKUP(INT(LEFT(F27,4)),'balance sheet'!$B$5:$D$15,2,FALSE)/10^6,"no data")</f>
        <v>no data</v>
      </c>
      <c r="G31" s="13" t="str">
        <f>IFERROR(HLOOKUP(INT(LEFT(G27,4)),'balance sheet'!$B$5:$D$15,2,FALSE)/10^6,"no data")</f>
        <v>no data</v>
      </c>
      <c r="H31" s="13" t="str">
        <f>IFERROR(HLOOKUP(INT(LEFT(H27,4)),'balance sheet'!$B$5:$D$15,2,FALSE)/10^6,"no data")</f>
        <v>no data</v>
      </c>
      <c r="I31" s="13" t="str">
        <f>IFERROR(HLOOKUP(INT(LEFT(I27,4)),'balance sheet'!$B$5:$D$15,2,FALSE)/10^6,"no data")</f>
        <v>no data</v>
      </c>
      <c r="J31" s="13">
        <f>IFERROR(HLOOKUP(INT(LEFT(J27,4)),'balance sheet'!$B$5:$D$15,2,FALSE)/10^6,"no data")</f>
        <v>407.69200000000001</v>
      </c>
      <c r="K31" s="13">
        <f>IFERROR(HLOOKUP(INT(LEFT(K27,4)),'balance sheet'!$B$5:$D$15,2,FALSE)/10^6,"no data")</f>
        <v>2371.777</v>
      </c>
      <c r="L31" s="13">
        <f>IFERROR(HLOOKUP(INT(LEFT(L27,4)),'balance sheet'!$B$5:$D$15,2,FALSE)/10^6,"no data")</f>
        <v>5792.1779999999999</v>
      </c>
      <c r="M31" s="37"/>
    </row>
    <row r="32" spans="2:13" x14ac:dyDescent="0.3">
      <c r="B32" s="16" t="s">
        <v>26</v>
      </c>
      <c r="C32" s="33" t="str">
        <f>IFERROR(C28/(C29+C30),"missing required data")</f>
        <v>missing required data</v>
      </c>
      <c r="D32" s="33" t="str">
        <f t="shared" ref="D32:L32" si="0">IFERROR(D28/(D29+D30),"missing required data")</f>
        <v>missing required data</v>
      </c>
      <c r="E32" s="33" t="str">
        <f t="shared" si="0"/>
        <v>missing required data</v>
      </c>
      <c r="F32" s="33" t="str">
        <f t="shared" si="0"/>
        <v>missing required data</v>
      </c>
      <c r="G32" s="33" t="str">
        <f t="shared" si="0"/>
        <v>missing required data</v>
      </c>
      <c r="H32" s="33">
        <f t="shared" si="0"/>
        <v>9.0430557430152519E-2</v>
      </c>
      <c r="I32" s="33">
        <f t="shared" si="0"/>
        <v>0.11332868954238469</v>
      </c>
      <c r="J32" s="33">
        <f t="shared" si="0"/>
        <v>0.10617557786598179</v>
      </c>
      <c r="K32" s="33">
        <f t="shared" si="0"/>
        <v>0.15258256199291509</v>
      </c>
      <c r="L32" s="33">
        <f t="shared" si="0"/>
        <v>9.5057758723353578E-2</v>
      </c>
    </row>
    <row r="33" spans="2:12" x14ac:dyDescent="0.3">
      <c r="B33" s="16" t="s">
        <v>27</v>
      </c>
      <c r="C33" s="33" t="str">
        <f>IFERROR((C29+C30-C31)/C28,"missing required data")</f>
        <v>missing required data</v>
      </c>
      <c r="D33" s="33" t="str">
        <f t="shared" ref="D33:L33" si="1">IFERROR((D29+D30-D31)/D28,"missing required data")</f>
        <v>missing required data</v>
      </c>
      <c r="E33" s="33" t="str">
        <f t="shared" si="1"/>
        <v>missing required data</v>
      </c>
      <c r="F33" s="33" t="str">
        <f t="shared" si="1"/>
        <v>missing required data</v>
      </c>
      <c r="G33" s="33" t="str">
        <f t="shared" si="1"/>
        <v>missing required data</v>
      </c>
      <c r="H33" s="33" t="str">
        <f t="shared" si="1"/>
        <v>missing required data</v>
      </c>
      <c r="I33" s="33" t="str">
        <f t="shared" si="1"/>
        <v>missing required data</v>
      </c>
      <c r="J33" s="33">
        <f t="shared" si="1"/>
        <v>9.3062968664101149</v>
      </c>
      <c r="K33" s="33">
        <f t="shared" si="1"/>
        <v>6.1097590338887846</v>
      </c>
      <c r="L33" s="33">
        <f t="shared" si="1"/>
        <v>9.0686098722124786</v>
      </c>
    </row>
    <row r="34" spans="2:12" x14ac:dyDescent="0.3">
      <c r="B34" s="16" t="s">
        <v>28</v>
      </c>
      <c r="C34" s="14">
        <f>IFERROR(HLOOKUP(C27,'historical statistics'!$B$1:$K$26,8,FALSE),"no data")</f>
        <v>1.02</v>
      </c>
      <c r="D34" s="14">
        <f>IFERROR(HLOOKUP(D27,'historical statistics'!$B$1:$K$26,8,FALSE),"no data")</f>
        <v>1.07</v>
      </c>
      <c r="E34" s="14">
        <f>IFERROR(HLOOKUP(E27,'historical statistics'!$B$1:$K$26,8,FALSE),"no data")</f>
        <v>1.24</v>
      </c>
      <c r="F34" s="14">
        <f>IFERROR(HLOOKUP(F27,'historical statistics'!$B$1:$K$26,8,FALSE),"no data")</f>
        <v>2.75</v>
      </c>
      <c r="G34" s="14">
        <f>IFERROR(HLOOKUP(G27,'historical statistics'!$B$1:$K$26,8,FALSE),"no data")</f>
        <v>3.07</v>
      </c>
      <c r="H34" s="14">
        <f>IFERROR(HLOOKUP(H27,'historical statistics'!$B$1:$K$26,8,FALSE),"no data")</f>
        <v>1.48</v>
      </c>
      <c r="I34" s="14">
        <f>IFERROR(HLOOKUP(I27,'historical statistics'!$B$1:$K$26,8,FALSE),"no data")</f>
        <v>1.1299999999999999</v>
      </c>
      <c r="J34" s="14">
        <f>IFERROR(HLOOKUP(J27,'historical statistics'!$B$1:$K$26,8,FALSE),"no data")</f>
        <v>1.41</v>
      </c>
      <c r="K34" s="14">
        <f>IFERROR(HLOOKUP(K27,'historical statistics'!$B$1:$K$26,8,FALSE),"no data")</f>
        <v>2.04</v>
      </c>
      <c r="L34" s="14">
        <f>IFERROR(HLOOKUP(L27,'historical statistics'!$B$1:$K$26,8,FALSE),"no data")</f>
        <v>1.3</v>
      </c>
    </row>
    <row r="35" spans="2:12" x14ac:dyDescent="0.3">
      <c r="B35" s="12" t="s">
        <v>33</v>
      </c>
    </row>
    <row r="37" spans="2:12" x14ac:dyDescent="0.3">
      <c r="I37" s="10"/>
      <c r="J37" s="10"/>
    </row>
    <row r="38" spans="2:12" x14ac:dyDescent="0.3">
      <c r="G38" s="35"/>
      <c r="J38" s="10"/>
    </row>
  </sheetData>
  <mergeCells count="2">
    <mergeCell ref="B11:C11"/>
    <mergeCell ref="B26:L26"/>
  </mergeCells>
  <conditionalFormatting sqref="C9">
    <cfRule type="expression" dxfId="8" priority="8">
      <formula>$C$7&lt;$C$4</formula>
    </cfRule>
    <cfRule type="expression" dxfId="7" priority="9">
      <formula>$C$7&gt;$C$4</formula>
    </cfRule>
  </conditionalFormatting>
  <conditionalFormatting sqref="C6">
    <cfRule type="expression" dxfId="5" priority="7">
      <formula>"VLOOKUP(""day change %"",'stock summary'!$A$2:$B$19,2,FALSE+$C$7)&lt;0"</formula>
    </cfRule>
  </conditionalFormatting>
  <conditionalFormatting sqref="C30:L30">
    <cfRule type="cellIs" dxfId="4" priority="5" operator="equal">
      <formula>"no data"</formula>
    </cfRule>
  </conditionalFormatting>
  <conditionalFormatting sqref="C31:L31">
    <cfRule type="cellIs" dxfId="3" priority="4" operator="equal">
      <formula>"no data"</formula>
    </cfRule>
  </conditionalFormatting>
  <conditionalFormatting sqref="C32:L33">
    <cfRule type="cellIs" dxfId="2" priority="3" operator="equal">
      <formula>"missing required data"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FAB0677-23B1-4B06-996A-3D30C888439B}">
            <xm:f>VLOOKUP("day change %",'stock summary'!$A$2:$B$19,2,FALSE)&gt;0</xm:f>
            <x14:dxf>
              <font>
                <color rgb="FF00B050"/>
              </font>
            </x14:dxf>
          </x14:cfRule>
          <xm:sqref>C6</xm:sqref>
        </x14:conditionalFormatting>
        <x14:conditionalFormatting xmlns:xm="http://schemas.microsoft.com/office/excel/2006/main">
          <x14:cfRule type="expression" priority="1" id="{11FA3B33-2C09-4687-A85B-92157D27C557}">
            <xm:f>VLOOKUP("day change %",'stock summary'!$A$2:$B$19,2,FALSE)&lt;0</xm:f>
            <x14:dxf>
              <font>
                <color rgb="FFC00000"/>
              </font>
            </x14:dxf>
          </x14:cfRule>
          <x14:cfRule type="expression" priority="2" id="{EF2D8F66-B213-4886-92D2-5F113C21BC59}">
            <xm:f>VLOOKUP("day change %",'stock summary'!$A$2:$B$19,2,FALSE)&gt;0</xm:f>
            <x14:dxf>
              <font>
                <color rgb="FF00B050"/>
              </font>
            </x14:dxf>
          </x14:cfRule>
          <xm:sqref>D6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7818FE-1E06-435A-AC73-602533B1EB0D}">
          <x14:formula1>
            <xm:f>options!$A$3:$A$10</xm:f>
          </x14:formula1>
          <xm:sqref>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9F5D5-1329-4B46-B440-8B5BA7CD7AEE}">
  <sheetPr codeName="Sheet2"/>
  <dimension ref="A2:J24"/>
  <sheetViews>
    <sheetView workbookViewId="0">
      <selection activeCell="G16" sqref="G16"/>
    </sheetView>
  </sheetViews>
  <sheetFormatPr defaultRowHeight="15" x14ac:dyDescent="0.25"/>
  <cols>
    <col min="1" max="1" width="17.42578125" bestFit="1" customWidth="1"/>
    <col min="3" max="3" width="13.28515625" customWidth="1"/>
    <col min="4" max="4" width="13.7109375" customWidth="1"/>
    <col min="5" max="5" width="21.42578125" customWidth="1"/>
    <col min="6" max="6" width="16.5703125" customWidth="1"/>
    <col min="7" max="7" width="16.28515625" customWidth="1"/>
    <col min="10" max="10" width="10.5703125" bestFit="1" customWidth="1"/>
  </cols>
  <sheetData>
    <row r="2" spans="1:10" x14ac:dyDescent="0.25">
      <c r="A2" t="s">
        <v>13</v>
      </c>
      <c r="B2" t="s">
        <v>38</v>
      </c>
      <c r="C2" t="s">
        <v>39</v>
      </c>
      <c r="D2" t="s">
        <v>45</v>
      </c>
      <c r="E2" t="s">
        <v>79</v>
      </c>
    </row>
    <row r="3" spans="1:10" x14ac:dyDescent="0.25">
      <c r="A3" t="s">
        <v>74</v>
      </c>
      <c r="B3">
        <v>235</v>
      </c>
      <c r="C3" t="s">
        <v>40</v>
      </c>
      <c r="D3">
        <v>0</v>
      </c>
      <c r="E3">
        <v>1</v>
      </c>
      <c r="F3" t="s">
        <v>21</v>
      </c>
      <c r="G3" s="40">
        <f>('historical price'!A2)</f>
        <v>0</v>
      </c>
    </row>
    <row r="4" spans="1:10" x14ac:dyDescent="0.25">
      <c r="A4" t="s">
        <v>14</v>
      </c>
      <c r="B4">
        <v>200</v>
      </c>
      <c r="C4" t="s">
        <v>40</v>
      </c>
      <c r="D4">
        <v>0</v>
      </c>
      <c r="E4">
        <v>1</v>
      </c>
      <c r="F4" t="s">
        <v>80</v>
      </c>
      <c r="G4" s="40">
        <f ca="1">DATE(YEAR(NOW()),MONTH(NOW()),DAY(NOW()))+TIME(16,0,0)</f>
        <v>43940.666666666664</v>
      </c>
      <c r="H4" s="41"/>
    </row>
    <row r="5" spans="1:10" x14ac:dyDescent="0.25">
      <c r="A5" t="s">
        <v>15</v>
      </c>
      <c r="B5">
        <v>27</v>
      </c>
      <c r="C5" t="s">
        <v>41</v>
      </c>
      <c r="D5">
        <v>0</v>
      </c>
      <c r="E5">
        <v>1</v>
      </c>
      <c r="F5" s="9" t="s">
        <v>42</v>
      </c>
      <c r="G5" s="9">
        <f>VLOOKUP(MAIN!H22,options!A3:C10,2,FALSE)</f>
        <v>20</v>
      </c>
    </row>
    <row r="6" spans="1:10" x14ac:dyDescent="0.25">
      <c r="A6" t="s">
        <v>75</v>
      </c>
      <c r="B6">
        <v>20</v>
      </c>
      <c r="C6" t="s">
        <v>41</v>
      </c>
      <c r="D6">
        <v>0</v>
      </c>
      <c r="E6">
        <v>0.5</v>
      </c>
      <c r="F6" t="s">
        <v>43</v>
      </c>
      <c r="G6" t="str">
        <f>VLOOKUP(MAIN!H22,options!A3:C10,3,FALSE)</f>
        <v>mmm</v>
      </c>
    </row>
    <row r="7" spans="1:10" x14ac:dyDescent="0.25">
      <c r="A7" t="s">
        <v>76</v>
      </c>
      <c r="B7">
        <v>18</v>
      </c>
      <c r="C7" t="s">
        <v>41</v>
      </c>
      <c r="D7">
        <v>0</v>
      </c>
      <c r="E7">
        <v>0.5</v>
      </c>
      <c r="F7" t="s">
        <v>44</v>
      </c>
      <c r="G7">
        <f>VLOOKUP(MAIN!H22,options!A3:D10,4,FALSE)</f>
        <v>0</v>
      </c>
    </row>
    <row r="8" spans="1:10" x14ac:dyDescent="0.25">
      <c r="A8" t="s">
        <v>77</v>
      </c>
      <c r="B8">
        <v>6</v>
      </c>
      <c r="C8" t="s">
        <v>81</v>
      </c>
      <c r="D8">
        <v>0</v>
      </c>
      <c r="E8">
        <v>0.1</v>
      </c>
      <c r="F8" t="s">
        <v>19</v>
      </c>
      <c r="G8" s="39">
        <f>MROUND(MAX('historical price'!C2:C1048576)+G11,G11)</f>
        <v>0.5</v>
      </c>
    </row>
    <row r="9" spans="1:10" x14ac:dyDescent="0.25">
      <c r="A9" t="s">
        <v>16</v>
      </c>
      <c r="B9">
        <v>12</v>
      </c>
      <c r="C9" t="s">
        <v>78</v>
      </c>
      <c r="D9">
        <v>0</v>
      </c>
      <c r="E9">
        <v>0.05</v>
      </c>
      <c r="F9" t="s">
        <v>20</v>
      </c>
      <c r="G9" s="39">
        <f>IFERROR(MROUND(MIN('historical price'!C2:C1048576)-G11,G11),0)</f>
        <v>0</v>
      </c>
      <c r="J9" s="43"/>
    </row>
    <row r="10" spans="1:10" x14ac:dyDescent="0.25">
      <c r="A10" t="s">
        <v>17</v>
      </c>
      <c r="B10">
        <v>60</v>
      </c>
      <c r="C10" t="s">
        <v>46</v>
      </c>
      <c r="D10">
        <v>0</v>
      </c>
      <c r="E10" s="39">
        <v>0.01</v>
      </c>
      <c r="F10" t="s">
        <v>73</v>
      </c>
      <c r="G10" t="str">
        <f ca="1">LEFT(CELL("filename",A1),FIND("[",CELL("filename",A1))-1)&amp;"data\"&amp;MAIN!C2&amp;"_"&amp;MAIN!H22&amp;".csv"</f>
        <v>D:\Users\Michael\Documents\Coding\asx-scraper\data\WPL_6mo.csv</v>
      </c>
      <c r="H10" s="1"/>
    </row>
    <row r="11" spans="1:10" x14ac:dyDescent="0.25">
      <c r="F11" t="s">
        <v>79</v>
      </c>
      <c r="G11" s="39">
        <f>VLOOKUP(MAIN!H22,options!A3:E10,5,FALSE)</f>
        <v>0.5</v>
      </c>
    </row>
    <row r="13" spans="1:10" x14ac:dyDescent="0.25">
      <c r="F13" s="40"/>
    </row>
    <row r="16" spans="1:10" x14ac:dyDescent="0.25">
      <c r="G16" s="39"/>
    </row>
    <row r="17" spans="3:3" x14ac:dyDescent="0.25">
      <c r="C17" s="42"/>
    </row>
    <row r="18" spans="3:3" x14ac:dyDescent="0.25">
      <c r="C18" s="42"/>
    </row>
    <row r="19" spans="3:3" x14ac:dyDescent="0.25">
      <c r="C19" s="42"/>
    </row>
    <row r="20" spans="3:3" x14ac:dyDescent="0.25">
      <c r="C20" s="42"/>
    </row>
    <row r="21" spans="3:3" x14ac:dyDescent="0.25">
      <c r="C21" s="42"/>
    </row>
    <row r="22" spans="3:3" x14ac:dyDescent="0.25">
      <c r="C22" s="42"/>
    </row>
    <row r="23" spans="3:3" x14ac:dyDescent="0.25">
      <c r="C23" s="42"/>
    </row>
    <row r="24" spans="3:3" x14ac:dyDescent="0.25">
      <c r="C24" s="4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BA85-E268-46D1-8CE8-B625C0504795}">
  <sheetPr codeName="Sheet3"/>
  <dimension ref="A1:B18"/>
  <sheetViews>
    <sheetView workbookViewId="0">
      <selection activeCell="E20" sqref="E20"/>
    </sheetView>
  </sheetViews>
  <sheetFormatPr defaultRowHeight="15" x14ac:dyDescent="0.25"/>
  <cols>
    <col min="1" max="1" width="20.140625" customWidth="1"/>
    <col min="2" max="2" width="12" bestFit="1" customWidth="1"/>
  </cols>
  <sheetData>
    <row r="1" spans="1:2" x14ac:dyDescent="0.25">
      <c r="A1" t="s">
        <v>1</v>
      </c>
      <c r="B1" t="s">
        <v>53</v>
      </c>
    </row>
    <row r="2" spans="1:2" x14ac:dyDescent="0.25">
      <c r="A2" t="s">
        <v>54</v>
      </c>
      <c r="B2" t="s">
        <v>143</v>
      </c>
    </row>
    <row r="3" spans="1:2" x14ac:dyDescent="0.25">
      <c r="A3" t="s">
        <v>55</v>
      </c>
      <c r="B3">
        <v>21.08</v>
      </c>
    </row>
    <row r="4" spans="1:2" x14ac:dyDescent="0.25">
      <c r="A4" t="s">
        <v>82</v>
      </c>
      <c r="B4" t="s">
        <v>125</v>
      </c>
    </row>
    <row r="5" spans="1:2" x14ac:dyDescent="0.25">
      <c r="A5" t="s">
        <v>86</v>
      </c>
      <c r="B5">
        <v>0.16</v>
      </c>
    </row>
    <row r="6" spans="1:2" x14ac:dyDescent="0.25">
      <c r="A6" t="s">
        <v>87</v>
      </c>
      <c r="B6">
        <v>0.76</v>
      </c>
    </row>
    <row r="7" spans="1:2" x14ac:dyDescent="0.25">
      <c r="A7" t="s">
        <v>56</v>
      </c>
      <c r="B7" s="38">
        <v>20.99</v>
      </c>
    </row>
    <row r="8" spans="1:2" x14ac:dyDescent="0.25">
      <c r="A8" t="s">
        <v>141</v>
      </c>
      <c r="B8" s="38">
        <v>21.08</v>
      </c>
    </row>
    <row r="9" spans="1:2" x14ac:dyDescent="0.25">
      <c r="A9" t="s">
        <v>57</v>
      </c>
      <c r="B9">
        <v>20.9</v>
      </c>
    </row>
    <row r="10" spans="1:2" x14ac:dyDescent="0.25">
      <c r="A10" t="s">
        <v>58</v>
      </c>
      <c r="B10">
        <v>21.45</v>
      </c>
    </row>
    <row r="11" spans="1:2" x14ac:dyDescent="0.25">
      <c r="A11" t="s">
        <v>84</v>
      </c>
      <c r="B11">
        <v>37.549999999999997</v>
      </c>
    </row>
    <row r="12" spans="1:2" x14ac:dyDescent="0.25">
      <c r="A12" t="s">
        <v>83</v>
      </c>
      <c r="B12">
        <v>14.93</v>
      </c>
    </row>
    <row r="13" spans="1:2" x14ac:dyDescent="0.25">
      <c r="A13" t="s">
        <v>59</v>
      </c>
      <c r="B13" t="s">
        <v>144</v>
      </c>
    </row>
    <row r="14" spans="1:2" x14ac:dyDescent="0.25">
      <c r="A14" t="s">
        <v>60</v>
      </c>
      <c r="B14">
        <v>5750113</v>
      </c>
    </row>
    <row r="15" spans="1:2" x14ac:dyDescent="0.25">
      <c r="A15" t="s">
        <v>61</v>
      </c>
      <c r="B15" t="s">
        <v>145</v>
      </c>
    </row>
    <row r="16" spans="1:2" x14ac:dyDescent="0.25">
      <c r="A16" t="s">
        <v>62</v>
      </c>
      <c r="B16" t="s">
        <v>145</v>
      </c>
    </row>
    <row r="17" spans="1:2" x14ac:dyDescent="0.25">
      <c r="A17" t="s">
        <v>139</v>
      </c>
      <c r="B17" s="38">
        <v>44.6</v>
      </c>
    </row>
    <row r="18" spans="1:2" x14ac:dyDescent="0.25">
      <c r="A18" t="s">
        <v>140</v>
      </c>
      <c r="B18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9281-1689-464E-B317-0C90234E8921}">
  <sheetPr codeName="Sheet5"/>
  <dimension ref="A1:L19"/>
  <sheetViews>
    <sheetView workbookViewId="0">
      <selection activeCell="K13" sqref="K13"/>
    </sheetView>
  </sheetViews>
  <sheetFormatPr defaultRowHeight="15" x14ac:dyDescent="0.25"/>
  <cols>
    <col min="1" max="1" width="36.85546875" customWidth="1"/>
    <col min="2" max="2" width="13" customWidth="1"/>
    <col min="3" max="5" width="12.7109375" customWidth="1"/>
  </cols>
  <sheetData>
    <row r="1" spans="1:12" x14ac:dyDescent="0.25">
      <c r="A1" t="s">
        <v>122</v>
      </c>
      <c r="B1" t="s">
        <v>146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  <c r="I1" t="s">
        <v>153</v>
      </c>
      <c r="J1" t="s">
        <v>154</v>
      </c>
      <c r="K1" t="s">
        <v>155</v>
      </c>
      <c r="L1" t="s">
        <v>108</v>
      </c>
    </row>
    <row r="2" spans="1:12" x14ac:dyDescent="0.25">
      <c r="A2" t="s">
        <v>123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</row>
    <row r="3" spans="1:12" x14ac:dyDescent="0.25">
      <c r="A3" t="s">
        <v>124</v>
      </c>
      <c r="B3" t="s">
        <v>124</v>
      </c>
      <c r="C3" t="s">
        <v>124</v>
      </c>
      <c r="D3" t="s">
        <v>124</v>
      </c>
      <c r="E3" t="s">
        <v>124</v>
      </c>
      <c r="F3" t="s">
        <v>124</v>
      </c>
      <c r="G3" t="s">
        <v>124</v>
      </c>
      <c r="H3" t="s">
        <v>124</v>
      </c>
      <c r="I3" t="s">
        <v>124</v>
      </c>
      <c r="J3" t="s">
        <v>124</v>
      </c>
      <c r="K3" t="s">
        <v>124</v>
      </c>
      <c r="L3" t="s">
        <v>124</v>
      </c>
    </row>
    <row r="4" spans="1:12" x14ac:dyDescent="0.25">
      <c r="A4" t="s">
        <v>68</v>
      </c>
      <c r="B4">
        <v>4162.2</v>
      </c>
      <c r="C4">
        <v>4756.8</v>
      </c>
      <c r="D4">
        <v>6166.2</v>
      </c>
      <c r="E4">
        <v>6646.2</v>
      </c>
      <c r="F4">
        <v>9095.2999999999993</v>
      </c>
      <c r="G4">
        <v>6885</v>
      </c>
      <c r="H4">
        <v>5716</v>
      </c>
      <c r="I4">
        <v>5050</v>
      </c>
      <c r="J4">
        <v>7536</v>
      </c>
      <c r="K4">
        <v>7141</v>
      </c>
    </row>
    <row r="5" spans="1:12" x14ac:dyDescent="0.25">
      <c r="A5" t="s">
        <v>69</v>
      </c>
      <c r="B5">
        <v>2766.9</v>
      </c>
      <c r="C5">
        <v>2968.69</v>
      </c>
      <c r="D5">
        <v>3907.94</v>
      </c>
      <c r="E5">
        <v>4195.3500000000004</v>
      </c>
      <c r="F5">
        <v>6259.45</v>
      </c>
      <c r="G5">
        <v>2680</v>
      </c>
      <c r="H5">
        <v>3742</v>
      </c>
      <c r="I5">
        <v>3638</v>
      </c>
      <c r="J5">
        <v>5341</v>
      </c>
      <c r="K5">
        <v>3991</v>
      </c>
    </row>
    <row r="6" spans="1:12" x14ac:dyDescent="0.25">
      <c r="A6" t="s">
        <v>70</v>
      </c>
      <c r="B6">
        <v>-737</v>
      </c>
      <c r="C6">
        <v>-617.4</v>
      </c>
      <c r="D6">
        <v>-1140.2</v>
      </c>
      <c r="E6">
        <v>-1361.2</v>
      </c>
      <c r="F6">
        <v>-1756.9</v>
      </c>
      <c r="G6">
        <v>-2076</v>
      </c>
      <c r="H6">
        <v>-1824</v>
      </c>
      <c r="I6">
        <v>-1523</v>
      </c>
      <c r="J6">
        <v>-2056</v>
      </c>
      <c r="K6">
        <v>-2409</v>
      </c>
    </row>
    <row r="7" spans="1:12" x14ac:dyDescent="0.25">
      <c r="A7" t="s">
        <v>71</v>
      </c>
      <c r="B7">
        <v>-23.62</v>
      </c>
      <c r="C7">
        <v>-27.57</v>
      </c>
      <c r="D7">
        <v>-25.04</v>
      </c>
      <c r="E7">
        <v>-50.29</v>
      </c>
      <c r="F7">
        <v>-25.6</v>
      </c>
      <c r="G7">
        <v>0</v>
      </c>
      <c r="H7">
        <v>0</v>
      </c>
      <c r="I7">
        <v>0</v>
      </c>
      <c r="J7">
        <v>0</v>
      </c>
      <c r="K7">
        <v>0</v>
      </c>
    </row>
    <row r="8" spans="1:12" x14ac:dyDescent="0.25">
      <c r="A8" t="s">
        <v>72</v>
      </c>
      <c r="B8">
        <v>2006.3</v>
      </c>
      <c r="C8">
        <v>2323.75</v>
      </c>
      <c r="D8">
        <v>2742.68</v>
      </c>
      <c r="E8">
        <v>2783.86</v>
      </c>
      <c r="F8">
        <v>4476.96</v>
      </c>
      <c r="G8">
        <v>603.6</v>
      </c>
      <c r="H8">
        <v>1918.2</v>
      </c>
      <c r="I8">
        <v>2115.4</v>
      </c>
      <c r="J8">
        <v>3285.6</v>
      </c>
      <c r="K8">
        <v>1581.5</v>
      </c>
    </row>
    <row r="9" spans="1:12" x14ac:dyDescent="0.25">
      <c r="A9" t="s">
        <v>112</v>
      </c>
      <c r="B9">
        <v>1.78</v>
      </c>
      <c r="C9">
        <v>2.04</v>
      </c>
      <c r="D9">
        <v>2.41</v>
      </c>
      <c r="E9">
        <v>2.29</v>
      </c>
      <c r="F9">
        <v>3.54</v>
      </c>
      <c r="G9">
        <v>0.04</v>
      </c>
      <c r="H9">
        <v>1.42</v>
      </c>
      <c r="I9">
        <v>1.54</v>
      </c>
      <c r="J9">
        <v>2.16</v>
      </c>
      <c r="K9">
        <v>0.55000000000000004</v>
      </c>
    </row>
    <row r="10" spans="1:12" x14ac:dyDescent="0.25">
      <c r="A10" t="s">
        <v>113</v>
      </c>
      <c r="B10">
        <v>30.6</v>
      </c>
      <c r="C10">
        <v>31</v>
      </c>
      <c r="D10">
        <v>16.8</v>
      </c>
      <c r="E10">
        <v>23.1</v>
      </c>
      <c r="F10">
        <v>28.3</v>
      </c>
      <c r="G10">
        <v>68.3</v>
      </c>
      <c r="H10">
        <v>27.4</v>
      </c>
      <c r="I10">
        <v>28.5</v>
      </c>
      <c r="J10">
        <v>30</v>
      </c>
      <c r="K10">
        <v>55.7</v>
      </c>
    </row>
    <row r="11" spans="1:12" x14ac:dyDescent="0.25">
      <c r="A11" t="s">
        <v>114</v>
      </c>
      <c r="B11">
        <v>1549.7</v>
      </c>
      <c r="C11">
        <v>1483.9</v>
      </c>
      <c r="D11">
        <v>2872.7</v>
      </c>
      <c r="E11">
        <v>1954.6</v>
      </c>
      <c r="F11">
        <v>2943.2</v>
      </c>
      <c r="G11">
        <v>35.6</v>
      </c>
      <c r="H11">
        <v>1199.5999999999999</v>
      </c>
      <c r="I11">
        <v>1312.8</v>
      </c>
      <c r="J11">
        <v>1932.6</v>
      </c>
      <c r="K11">
        <v>489.6</v>
      </c>
    </row>
    <row r="12" spans="1:12" x14ac:dyDescent="0.25">
      <c r="A12" t="s">
        <v>115</v>
      </c>
      <c r="B12">
        <v>66.5</v>
      </c>
      <c r="C12">
        <v>62.4</v>
      </c>
      <c r="D12">
        <v>63.4</v>
      </c>
      <c r="E12">
        <v>63.1</v>
      </c>
      <c r="F12">
        <v>68.8</v>
      </c>
      <c r="G12">
        <v>38.9</v>
      </c>
      <c r="H12">
        <v>65.5</v>
      </c>
      <c r="I12">
        <v>72</v>
      </c>
      <c r="J12">
        <v>70.900000000000006</v>
      </c>
      <c r="K12">
        <v>55.9</v>
      </c>
    </row>
    <row r="13" spans="1:12" x14ac:dyDescent="0.25">
      <c r="A13" t="s">
        <v>116</v>
      </c>
      <c r="B13">
        <v>33.5</v>
      </c>
      <c r="C13">
        <v>34.299999999999997</v>
      </c>
      <c r="D13">
        <v>32.200000000000003</v>
      </c>
      <c r="E13">
        <v>28.6</v>
      </c>
      <c r="F13">
        <v>32.4</v>
      </c>
      <c r="G13">
        <v>0.5</v>
      </c>
      <c r="H13">
        <v>21</v>
      </c>
      <c r="I13">
        <v>26</v>
      </c>
      <c r="J13">
        <v>26.4</v>
      </c>
      <c r="K13">
        <v>7.2</v>
      </c>
    </row>
    <row r="14" spans="1:12" x14ac:dyDescent="0.25">
      <c r="A14" t="s">
        <v>66</v>
      </c>
      <c r="B14" t="s">
        <v>65</v>
      </c>
      <c r="C14" t="s">
        <v>65</v>
      </c>
      <c r="D14" t="s">
        <v>65</v>
      </c>
      <c r="E14" t="s">
        <v>65</v>
      </c>
      <c r="F14" t="s">
        <v>65</v>
      </c>
      <c r="G14">
        <v>5.3</v>
      </c>
      <c r="H14">
        <v>3.5</v>
      </c>
      <c r="I14">
        <v>3.8</v>
      </c>
      <c r="J14">
        <v>6.4</v>
      </c>
      <c r="K14">
        <v>4</v>
      </c>
    </row>
    <row r="15" spans="1:12" x14ac:dyDescent="0.25">
      <c r="A15" t="s">
        <v>117</v>
      </c>
      <c r="B15">
        <v>57</v>
      </c>
      <c r="C15">
        <v>53</v>
      </c>
      <c r="D15">
        <v>51</v>
      </c>
      <c r="E15">
        <v>120</v>
      </c>
      <c r="F15">
        <v>87</v>
      </c>
      <c r="G15">
        <v>3447</v>
      </c>
      <c r="H15">
        <v>80</v>
      </c>
      <c r="I15">
        <v>91</v>
      </c>
      <c r="J15">
        <v>94</v>
      </c>
      <c r="K15">
        <v>237</v>
      </c>
    </row>
    <row r="16" spans="1:12" x14ac:dyDescent="0.25">
      <c r="A16" t="s">
        <v>118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119</v>
      </c>
      <c r="B17">
        <v>2070.25</v>
      </c>
      <c r="C17">
        <v>2207.56</v>
      </c>
      <c r="D17">
        <v>3346.49</v>
      </c>
      <c r="E17">
        <v>3721.5</v>
      </c>
      <c r="F17">
        <v>5833.94</v>
      </c>
      <c r="G17">
        <v>3252</v>
      </c>
      <c r="H17">
        <v>3575</v>
      </c>
      <c r="I17">
        <v>3077</v>
      </c>
      <c r="J17">
        <v>4670</v>
      </c>
      <c r="K17">
        <v>4717</v>
      </c>
    </row>
    <row r="18" spans="1:11" x14ac:dyDescent="0.25">
      <c r="A18" t="s">
        <v>120</v>
      </c>
      <c r="B18">
        <v>-2893.83</v>
      </c>
      <c r="C18">
        <v>-3478.73</v>
      </c>
      <c r="D18">
        <v>155.05000000000001</v>
      </c>
      <c r="E18">
        <v>-1183.5</v>
      </c>
      <c r="F18">
        <v>-752.26</v>
      </c>
      <c r="G18">
        <v>-7468</v>
      </c>
      <c r="H18">
        <v>-3418</v>
      </c>
      <c r="I18">
        <v>-2010</v>
      </c>
      <c r="J18">
        <v>-2511</v>
      </c>
      <c r="K18">
        <v>-1767</v>
      </c>
    </row>
    <row r="19" spans="1:11" x14ac:dyDescent="0.25">
      <c r="A19" t="s">
        <v>121</v>
      </c>
      <c r="B19">
        <v>598.25</v>
      </c>
      <c r="C19">
        <v>356.44</v>
      </c>
      <c r="D19">
        <v>-1205.7</v>
      </c>
      <c r="E19">
        <v>-2760.39</v>
      </c>
      <c r="F19">
        <v>-3802.73</v>
      </c>
      <c r="G19">
        <v>-79</v>
      </c>
      <c r="H19">
        <v>70</v>
      </c>
      <c r="I19">
        <v>-1032</v>
      </c>
      <c r="J19">
        <v>-225</v>
      </c>
      <c r="K19">
        <v>452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DB17-1036-4158-9AFE-555AD8B7A1AB}">
  <sheetPr codeName="Sheet7"/>
  <dimension ref="A1:L26"/>
  <sheetViews>
    <sheetView workbookViewId="0">
      <selection activeCell="B8" sqref="B8"/>
    </sheetView>
  </sheetViews>
  <sheetFormatPr defaultRowHeight="15" x14ac:dyDescent="0.25"/>
  <cols>
    <col min="1" max="1" width="40.140625" customWidth="1"/>
  </cols>
  <sheetData>
    <row r="1" spans="1:12" x14ac:dyDescent="0.25">
      <c r="A1" t="s">
        <v>107</v>
      </c>
      <c r="B1" t="s">
        <v>146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  <c r="I1" t="s">
        <v>153</v>
      </c>
      <c r="J1" t="s">
        <v>154</v>
      </c>
      <c r="K1" t="s">
        <v>155</v>
      </c>
      <c r="L1" t="s">
        <v>108</v>
      </c>
    </row>
    <row r="2" spans="1:12" x14ac:dyDescent="0.25">
      <c r="A2" t="s">
        <v>109</v>
      </c>
      <c r="B2" t="s">
        <v>109</v>
      </c>
      <c r="C2" t="s">
        <v>109</v>
      </c>
      <c r="D2" t="s">
        <v>109</v>
      </c>
      <c r="E2" t="s">
        <v>109</v>
      </c>
      <c r="F2" t="s">
        <v>109</v>
      </c>
      <c r="G2" t="s">
        <v>109</v>
      </c>
      <c r="H2" t="s">
        <v>109</v>
      </c>
      <c r="I2" t="s">
        <v>109</v>
      </c>
      <c r="J2" t="s">
        <v>109</v>
      </c>
      <c r="K2" t="s">
        <v>109</v>
      </c>
      <c r="L2" t="s">
        <v>109</v>
      </c>
    </row>
    <row r="3" spans="1:12" x14ac:dyDescent="0.25">
      <c r="A3" t="s">
        <v>110</v>
      </c>
      <c r="B3" t="s">
        <v>110</v>
      </c>
      <c r="C3" t="s">
        <v>110</v>
      </c>
      <c r="D3" t="s">
        <v>110</v>
      </c>
      <c r="E3" t="s">
        <v>110</v>
      </c>
      <c r="F3" t="s">
        <v>110</v>
      </c>
      <c r="G3" t="s">
        <v>110</v>
      </c>
      <c r="H3" t="s">
        <v>110</v>
      </c>
      <c r="I3" t="s">
        <v>110</v>
      </c>
      <c r="J3" t="s">
        <v>110</v>
      </c>
      <c r="K3" t="s">
        <v>110</v>
      </c>
      <c r="L3" t="s">
        <v>110</v>
      </c>
    </row>
    <row r="4" spans="1:12" x14ac:dyDescent="0.25">
      <c r="A4" t="s">
        <v>111</v>
      </c>
      <c r="B4" t="s">
        <v>111</v>
      </c>
      <c r="C4" t="s">
        <v>111</v>
      </c>
      <c r="D4" t="s">
        <v>111</v>
      </c>
      <c r="E4" t="s">
        <v>111</v>
      </c>
      <c r="F4" t="s">
        <v>111</v>
      </c>
      <c r="G4" t="s">
        <v>111</v>
      </c>
      <c r="H4" t="s">
        <v>111</v>
      </c>
      <c r="I4" t="s">
        <v>111</v>
      </c>
      <c r="J4" t="s">
        <v>111</v>
      </c>
      <c r="K4" t="s">
        <v>111</v>
      </c>
      <c r="L4" t="s">
        <v>111</v>
      </c>
    </row>
    <row r="5" spans="1:12" x14ac:dyDescent="0.25">
      <c r="A5" t="s">
        <v>63</v>
      </c>
      <c r="B5">
        <v>5.32</v>
      </c>
      <c r="C5">
        <v>5.94</v>
      </c>
      <c r="D5">
        <v>7.48</v>
      </c>
      <c r="E5">
        <v>7.99</v>
      </c>
      <c r="F5">
        <v>10.93</v>
      </c>
      <c r="G5">
        <v>8.27</v>
      </c>
      <c r="H5">
        <v>6.77</v>
      </c>
      <c r="I5">
        <v>5.94</v>
      </c>
      <c r="J5">
        <v>8.18</v>
      </c>
      <c r="K5">
        <v>7.63</v>
      </c>
    </row>
    <row r="6" spans="1:12" x14ac:dyDescent="0.25">
      <c r="A6" t="s">
        <v>88</v>
      </c>
      <c r="B6">
        <v>2.65</v>
      </c>
      <c r="C6">
        <v>2.76</v>
      </c>
      <c r="D6">
        <v>4.0599999999999996</v>
      </c>
      <c r="E6">
        <v>4.47</v>
      </c>
      <c r="F6">
        <v>7.01</v>
      </c>
      <c r="G6">
        <v>3.91</v>
      </c>
      <c r="H6">
        <v>4.2300000000000004</v>
      </c>
      <c r="I6">
        <v>3.62</v>
      </c>
      <c r="J6">
        <v>5.07</v>
      </c>
      <c r="K6">
        <v>5.04</v>
      </c>
    </row>
    <row r="7" spans="1:12" x14ac:dyDescent="0.25">
      <c r="A7" t="s">
        <v>89</v>
      </c>
      <c r="B7">
        <v>1.78</v>
      </c>
      <c r="C7">
        <v>2.04</v>
      </c>
      <c r="D7">
        <v>2.41</v>
      </c>
      <c r="E7">
        <v>2.29</v>
      </c>
      <c r="F7">
        <v>3.54</v>
      </c>
      <c r="G7">
        <v>0.04</v>
      </c>
      <c r="H7">
        <v>1.42</v>
      </c>
      <c r="I7">
        <v>1.54</v>
      </c>
      <c r="J7">
        <v>2.16</v>
      </c>
      <c r="K7">
        <v>0.55000000000000004</v>
      </c>
    </row>
    <row r="8" spans="1:12" x14ac:dyDescent="0.25">
      <c r="A8" t="s">
        <v>90</v>
      </c>
      <c r="B8">
        <v>1.02</v>
      </c>
      <c r="C8">
        <v>1.07</v>
      </c>
      <c r="D8">
        <v>1.24</v>
      </c>
      <c r="E8">
        <v>2.75</v>
      </c>
      <c r="F8">
        <v>3.07</v>
      </c>
      <c r="G8">
        <v>1.48</v>
      </c>
      <c r="H8">
        <v>1.1299999999999999</v>
      </c>
      <c r="I8">
        <v>1.41</v>
      </c>
      <c r="J8">
        <v>2.04</v>
      </c>
      <c r="K8">
        <v>1.3</v>
      </c>
    </row>
    <row r="9" spans="1:12" x14ac:dyDescent="0.25">
      <c r="A9" t="s">
        <v>64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</row>
    <row r="10" spans="1:12" x14ac:dyDescent="0.25">
      <c r="A10" t="s">
        <v>91</v>
      </c>
      <c r="B10">
        <v>-4.59</v>
      </c>
      <c r="C10">
        <v>-4.3899999999999997</v>
      </c>
      <c r="D10">
        <v>0.18</v>
      </c>
      <c r="E10">
        <v>-0.93</v>
      </c>
      <c r="F10">
        <v>-0.97</v>
      </c>
      <c r="G10">
        <v>-2.99</v>
      </c>
      <c r="H10">
        <v>-2.65</v>
      </c>
      <c r="I10">
        <v>-2.1</v>
      </c>
      <c r="J10">
        <v>-2.73</v>
      </c>
      <c r="K10">
        <v>-1.85</v>
      </c>
    </row>
    <row r="11" spans="1:12" x14ac:dyDescent="0.25">
      <c r="A11" t="s">
        <v>92</v>
      </c>
      <c r="B11">
        <v>13.78</v>
      </c>
      <c r="C11">
        <v>15.3</v>
      </c>
      <c r="D11">
        <v>17.510000000000002</v>
      </c>
      <c r="E11">
        <v>20.420000000000002</v>
      </c>
      <c r="F11">
        <v>23.16</v>
      </c>
      <c r="G11">
        <v>23.4</v>
      </c>
      <c r="H11">
        <v>24.1</v>
      </c>
      <c r="I11">
        <v>22.6</v>
      </c>
      <c r="J11">
        <v>26.5</v>
      </c>
      <c r="K11">
        <v>25.2</v>
      </c>
    </row>
    <row r="12" spans="1:12" x14ac:dyDescent="0.25">
      <c r="A12" t="s">
        <v>93</v>
      </c>
      <c r="B12">
        <v>792.2</v>
      </c>
      <c r="C12">
        <v>814.7</v>
      </c>
      <c r="D12">
        <v>833.2</v>
      </c>
      <c r="E12">
        <v>833.2</v>
      </c>
      <c r="F12">
        <v>833.2</v>
      </c>
      <c r="G12">
        <v>833.2</v>
      </c>
      <c r="H12">
        <v>851.9</v>
      </c>
      <c r="I12">
        <v>851.9</v>
      </c>
      <c r="J12">
        <v>936.2</v>
      </c>
      <c r="K12">
        <v>942.3</v>
      </c>
    </row>
    <row r="13" spans="1:12" x14ac:dyDescent="0.25">
      <c r="A13" t="s">
        <v>94</v>
      </c>
      <c r="B13">
        <v>-7.5</v>
      </c>
      <c r="C13">
        <v>-26</v>
      </c>
      <c r="D13">
        <v>14.2</v>
      </c>
      <c r="E13">
        <v>21.6</v>
      </c>
      <c r="F13">
        <v>3.5</v>
      </c>
      <c r="G13">
        <v>-18.2</v>
      </c>
      <c r="H13">
        <v>12.8</v>
      </c>
      <c r="I13">
        <v>10.6</v>
      </c>
      <c r="J13">
        <v>-0.3</v>
      </c>
      <c r="K13">
        <v>15.5</v>
      </c>
    </row>
    <row r="14" spans="1:12" x14ac:dyDescent="0.25">
      <c r="A14" t="s">
        <v>67</v>
      </c>
      <c r="B14">
        <v>-11.7</v>
      </c>
      <c r="C14">
        <v>-13.9</v>
      </c>
      <c r="D14">
        <v>-4.5999999999999996</v>
      </c>
      <c r="E14">
        <v>1.9</v>
      </c>
      <c r="F14">
        <v>-1.6</v>
      </c>
      <c r="G14">
        <v>-22.3</v>
      </c>
      <c r="H14">
        <v>1.1000000000000001</v>
      </c>
      <c r="I14">
        <v>-1.3</v>
      </c>
      <c r="J14">
        <v>3.1</v>
      </c>
      <c r="K14">
        <v>-10.5</v>
      </c>
    </row>
    <row r="15" spans="1:12" x14ac:dyDescent="0.25">
      <c r="A15" t="s">
        <v>95</v>
      </c>
      <c r="B15" t="s">
        <v>65</v>
      </c>
      <c r="C15" t="s">
        <v>65</v>
      </c>
      <c r="D15" t="s">
        <v>65</v>
      </c>
      <c r="E15" t="s">
        <v>65</v>
      </c>
      <c r="F15" t="s">
        <v>65</v>
      </c>
      <c r="G15" t="s">
        <v>65</v>
      </c>
      <c r="H15" t="s">
        <v>65</v>
      </c>
      <c r="I15" t="s">
        <v>65</v>
      </c>
      <c r="J15" t="s">
        <v>65</v>
      </c>
      <c r="K15" t="s">
        <v>65</v>
      </c>
    </row>
    <row r="16" spans="1:12" x14ac:dyDescent="0.25">
      <c r="A16" t="s">
        <v>96</v>
      </c>
      <c r="B16">
        <v>24.3</v>
      </c>
      <c r="C16">
        <v>19.2</v>
      </c>
      <c r="D16">
        <v>13.9</v>
      </c>
      <c r="E16">
        <v>16.100000000000001</v>
      </c>
      <c r="F16">
        <v>11.2</v>
      </c>
      <c r="G16">
        <v>763.7</v>
      </c>
      <c r="H16">
        <v>19.3</v>
      </c>
      <c r="I16">
        <v>19.8</v>
      </c>
      <c r="J16">
        <v>15.5</v>
      </c>
      <c r="K16">
        <v>62.2</v>
      </c>
    </row>
    <row r="17" spans="1:11" x14ac:dyDescent="0.25">
      <c r="A17" t="s">
        <v>97</v>
      </c>
      <c r="B17">
        <v>186.6</v>
      </c>
      <c r="C17">
        <v>139.9</v>
      </c>
      <c r="D17">
        <v>111.7</v>
      </c>
      <c r="E17">
        <v>117.5</v>
      </c>
      <c r="F17">
        <v>77.7</v>
      </c>
      <c r="G17">
        <v>4843.2</v>
      </c>
      <c r="H17">
        <v>114.8</v>
      </c>
      <c r="I17">
        <v>123.5</v>
      </c>
      <c r="J17">
        <v>97.1</v>
      </c>
      <c r="K17">
        <v>371.2</v>
      </c>
    </row>
    <row r="18" spans="1:11" x14ac:dyDescent="0.25">
      <c r="A18" t="s">
        <v>98</v>
      </c>
      <c r="B18">
        <v>4439.6000000000004</v>
      </c>
      <c r="C18">
        <v>4265.5</v>
      </c>
      <c r="D18">
        <v>3625.8</v>
      </c>
      <c r="E18">
        <v>2891.1</v>
      </c>
      <c r="F18">
        <v>2386</v>
      </c>
      <c r="G18">
        <v>5973</v>
      </c>
      <c r="H18">
        <v>6768</v>
      </c>
      <c r="I18">
        <v>6396</v>
      </c>
      <c r="J18">
        <v>5684</v>
      </c>
      <c r="K18">
        <v>9589</v>
      </c>
    </row>
    <row r="19" spans="1:11" x14ac:dyDescent="0.25">
      <c r="A19" t="s">
        <v>99</v>
      </c>
      <c r="B19">
        <v>10913.1</v>
      </c>
      <c r="C19">
        <v>12463.6</v>
      </c>
      <c r="D19">
        <v>14587.8</v>
      </c>
      <c r="E19">
        <v>17015</v>
      </c>
      <c r="F19">
        <v>19292.900000000001</v>
      </c>
      <c r="G19">
        <v>19472</v>
      </c>
      <c r="H19">
        <v>20507</v>
      </c>
      <c r="I19">
        <v>19295</v>
      </c>
      <c r="J19">
        <v>24779</v>
      </c>
      <c r="K19">
        <v>23718</v>
      </c>
    </row>
    <row r="20" spans="1:11" x14ac:dyDescent="0.25">
      <c r="A20" t="s">
        <v>100</v>
      </c>
      <c r="B20" t="s">
        <v>65</v>
      </c>
      <c r="C20" t="s">
        <v>65</v>
      </c>
      <c r="D20" t="s">
        <v>65</v>
      </c>
      <c r="E20" t="s">
        <v>65</v>
      </c>
      <c r="F20" t="s">
        <v>65</v>
      </c>
      <c r="G20">
        <v>23663</v>
      </c>
      <c r="H20">
        <v>26251</v>
      </c>
      <c r="I20">
        <v>27868</v>
      </c>
      <c r="J20">
        <v>29320</v>
      </c>
      <c r="K20">
        <v>32396</v>
      </c>
    </row>
    <row r="21" spans="1:11" x14ac:dyDescent="0.25">
      <c r="A21" t="s">
        <v>101</v>
      </c>
      <c r="B21">
        <v>3.6</v>
      </c>
      <c r="C21">
        <v>3.9</v>
      </c>
      <c r="D21">
        <v>4</v>
      </c>
      <c r="E21">
        <v>3.9</v>
      </c>
      <c r="F21">
        <v>3.8</v>
      </c>
      <c r="G21">
        <v>3.46</v>
      </c>
      <c r="H21">
        <v>3.51</v>
      </c>
      <c r="I21">
        <v>3.6</v>
      </c>
      <c r="J21">
        <v>3.66</v>
      </c>
      <c r="K21">
        <v>3.83</v>
      </c>
    </row>
    <row r="22" spans="1:11" x14ac:dyDescent="0.25">
      <c r="A22" t="s">
        <v>102</v>
      </c>
      <c r="B22" t="s">
        <v>65</v>
      </c>
      <c r="C22" t="s">
        <v>65</v>
      </c>
      <c r="D22" t="s">
        <v>65</v>
      </c>
      <c r="E22" t="s">
        <v>65</v>
      </c>
      <c r="F22" t="s">
        <v>65</v>
      </c>
      <c r="G22">
        <v>23.6</v>
      </c>
      <c r="H22">
        <v>24.3</v>
      </c>
      <c r="I22">
        <v>22.9</v>
      </c>
      <c r="J22">
        <v>26.5</v>
      </c>
      <c r="K22">
        <v>25.2</v>
      </c>
    </row>
    <row r="23" spans="1:11" x14ac:dyDescent="0.25">
      <c r="A23" t="s">
        <v>103</v>
      </c>
      <c r="B23" t="s">
        <v>65</v>
      </c>
      <c r="C23" t="s">
        <v>65</v>
      </c>
      <c r="D23" t="s">
        <v>65</v>
      </c>
      <c r="E23" t="s">
        <v>65</v>
      </c>
      <c r="F23" t="s">
        <v>65</v>
      </c>
      <c r="G23">
        <v>5.19</v>
      </c>
      <c r="H23">
        <v>28.92</v>
      </c>
      <c r="I23">
        <v>19.64</v>
      </c>
      <c r="J23">
        <v>12.67</v>
      </c>
      <c r="K23">
        <v>4.84</v>
      </c>
    </row>
    <row r="24" spans="1:11" x14ac:dyDescent="0.25">
      <c r="A24" t="s">
        <v>104</v>
      </c>
      <c r="B24" t="s">
        <v>65</v>
      </c>
      <c r="C24" t="s">
        <v>65</v>
      </c>
      <c r="D24" t="s">
        <v>65</v>
      </c>
      <c r="E24" t="s">
        <v>65</v>
      </c>
      <c r="F24" t="s">
        <v>65</v>
      </c>
      <c r="G24">
        <v>28.7</v>
      </c>
      <c r="H24">
        <v>29.9</v>
      </c>
      <c r="I24">
        <v>29.9</v>
      </c>
      <c r="J24">
        <v>13.5</v>
      </c>
      <c r="K24">
        <v>16.2</v>
      </c>
    </row>
    <row r="25" spans="1:11" x14ac:dyDescent="0.25">
      <c r="A25" t="s">
        <v>105</v>
      </c>
      <c r="B25">
        <v>12.8</v>
      </c>
      <c r="C25">
        <v>13.1</v>
      </c>
      <c r="D25">
        <v>13.6</v>
      </c>
      <c r="E25">
        <v>11.2</v>
      </c>
      <c r="F25">
        <v>15.3</v>
      </c>
      <c r="G25">
        <v>0.2</v>
      </c>
      <c r="H25">
        <v>5.9</v>
      </c>
      <c r="I25">
        <v>6.8</v>
      </c>
      <c r="J25">
        <v>8</v>
      </c>
      <c r="K25">
        <v>2.2000000000000002</v>
      </c>
    </row>
    <row r="26" spans="1:11" x14ac:dyDescent="0.25">
      <c r="A26" t="s">
        <v>106</v>
      </c>
      <c r="B26">
        <v>9</v>
      </c>
      <c r="C26">
        <v>10</v>
      </c>
      <c r="D26">
        <v>11</v>
      </c>
      <c r="E26">
        <v>10</v>
      </c>
      <c r="F26">
        <v>14</v>
      </c>
      <c r="G26">
        <v>0</v>
      </c>
      <c r="H26">
        <v>5</v>
      </c>
      <c r="I26">
        <v>5</v>
      </c>
      <c r="J26">
        <v>7</v>
      </c>
      <c r="K26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4B753-52B1-403F-9789-CC52C84ABFCA}">
  <sheetPr codeName="Sheet6"/>
  <dimension ref="A1:D15"/>
  <sheetViews>
    <sheetView workbookViewId="0">
      <selection activeCell="I17" sqref="I17"/>
    </sheetView>
  </sheetViews>
  <sheetFormatPr defaultRowHeight="15" x14ac:dyDescent="0.25"/>
  <cols>
    <col min="1" max="1" width="11.85546875" customWidth="1"/>
    <col min="2" max="2" width="12.5703125" customWidth="1"/>
  </cols>
  <sheetData>
    <row r="1" spans="1:4" x14ac:dyDescent="0.25">
      <c r="A1">
        <v>0</v>
      </c>
      <c r="B1">
        <v>1</v>
      </c>
      <c r="C1">
        <v>2</v>
      </c>
      <c r="D1">
        <v>3</v>
      </c>
    </row>
    <row r="2" spans="1:4" x14ac:dyDescent="0.25">
      <c r="A2" t="s">
        <v>126</v>
      </c>
      <c r="B2" t="s">
        <v>127</v>
      </c>
      <c r="C2" t="s">
        <v>99</v>
      </c>
      <c r="D2" t="s">
        <v>128</v>
      </c>
    </row>
    <row r="3" spans="1:4" x14ac:dyDescent="0.25">
      <c r="A3" t="s">
        <v>156</v>
      </c>
      <c r="B3" t="s">
        <v>157</v>
      </c>
      <c r="C3" t="s">
        <v>158</v>
      </c>
      <c r="D3" s="38">
        <v>0</v>
      </c>
    </row>
    <row r="5" spans="1:4" x14ac:dyDescent="0.25">
      <c r="A5" t="s">
        <v>129</v>
      </c>
      <c r="B5">
        <v>2017</v>
      </c>
      <c r="C5">
        <v>2018</v>
      </c>
      <c r="D5">
        <v>2019</v>
      </c>
    </row>
    <row r="6" spans="1:4" x14ac:dyDescent="0.25">
      <c r="A6" t="s">
        <v>130</v>
      </c>
      <c r="B6">
        <v>407692000</v>
      </c>
      <c r="C6">
        <v>2371777000</v>
      </c>
      <c r="D6">
        <v>5792178000</v>
      </c>
    </row>
    <row r="7" spans="1:4" x14ac:dyDescent="0.25">
      <c r="A7" t="s">
        <v>131</v>
      </c>
      <c r="B7">
        <v>617949000</v>
      </c>
      <c r="C7">
        <v>689997000</v>
      </c>
      <c r="D7">
        <v>489580000</v>
      </c>
    </row>
    <row r="8" spans="1:4" x14ac:dyDescent="0.25">
      <c r="A8" t="s">
        <v>132</v>
      </c>
      <c r="B8">
        <v>238500000</v>
      </c>
      <c r="C8">
        <v>219600000</v>
      </c>
      <c r="D8">
        <v>251200000</v>
      </c>
    </row>
    <row r="9" spans="1:4" x14ac:dyDescent="0.25">
      <c r="A9" t="s">
        <v>133</v>
      </c>
      <c r="B9">
        <v>34600000</v>
      </c>
      <c r="C9">
        <v>43900000</v>
      </c>
      <c r="D9">
        <v>59900000</v>
      </c>
    </row>
    <row r="10" spans="1:4" x14ac:dyDescent="0.25">
      <c r="A10" t="s">
        <v>134</v>
      </c>
      <c r="B10">
        <v>1299000000</v>
      </c>
      <c r="C10">
        <v>3416000000</v>
      </c>
      <c r="D10">
        <v>6633000000</v>
      </c>
    </row>
    <row r="11" spans="1:4" x14ac:dyDescent="0.25">
      <c r="A11" t="s">
        <v>135</v>
      </c>
      <c r="B11">
        <v>885897000</v>
      </c>
      <c r="C11">
        <v>830264000</v>
      </c>
      <c r="D11">
        <v>829289000</v>
      </c>
    </row>
    <row r="12" spans="1:4" x14ac:dyDescent="0.25">
      <c r="A12" t="s">
        <v>159</v>
      </c>
      <c r="B12">
        <v>97436000</v>
      </c>
      <c r="C12">
        <v>179938000</v>
      </c>
      <c r="D12">
        <v>225521000</v>
      </c>
    </row>
    <row r="13" spans="1:4" x14ac:dyDescent="0.25">
      <c r="A13" t="s">
        <v>136</v>
      </c>
      <c r="B13">
        <v>51300000</v>
      </c>
      <c r="C13">
        <v>60900000</v>
      </c>
      <c r="D13">
        <v>48500000</v>
      </c>
    </row>
    <row r="14" spans="1:4" x14ac:dyDescent="0.25">
      <c r="A14" t="s">
        <v>137</v>
      </c>
      <c r="B14">
        <v>1395000000</v>
      </c>
      <c r="C14">
        <v>1481000000</v>
      </c>
      <c r="D14">
        <v>1614000000</v>
      </c>
    </row>
    <row r="15" spans="1:4" x14ac:dyDescent="0.25">
      <c r="A15" t="s">
        <v>138</v>
      </c>
      <c r="B15">
        <v>12206000000</v>
      </c>
      <c r="C15">
        <v>12420000000</v>
      </c>
      <c r="D15">
        <v>17048000000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2158-38E8-4A83-8E88-8CD267277D4F}">
  <sheetPr codeName="Sheet15"/>
  <dimension ref="A1"/>
  <sheetViews>
    <sheetView topLeftCell="A43" workbookViewId="0">
      <selection activeCell="C50" sqref="C50"/>
    </sheetView>
  </sheetViews>
  <sheetFormatPr defaultRowHeight="15" x14ac:dyDescent="0.25"/>
  <cols>
    <col min="1" max="1" width="15.85546875" bestFit="1" customWidth="1"/>
    <col min="2" max="6" width="12" bestFit="1" customWidth="1"/>
    <col min="7" max="7" width="10" bestFit="1" customWidth="1"/>
    <col min="8" max="8" width="10.7109375" bestFit="1" customWidth="1"/>
    <col min="9" max="13" width="12" bestFit="1" customWidth="1"/>
    <col min="14" max="14" width="10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options</vt:lpstr>
      <vt:lpstr>stock summary</vt:lpstr>
      <vt:lpstr>historical financials</vt:lpstr>
      <vt:lpstr>historical statistics</vt:lpstr>
      <vt:lpstr>balance sheet</vt:lpstr>
      <vt:lpstr>historical 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Sinclair</dc:creator>
  <cp:lastModifiedBy>Michael Sinclair</cp:lastModifiedBy>
  <dcterms:created xsi:type="dcterms:W3CDTF">2020-04-09T06:31:24Z</dcterms:created>
  <dcterms:modified xsi:type="dcterms:W3CDTF">2020-04-18T17:16:53Z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4c698dfd-20e1-4e60-8c01-5ad1bdef4220</vt:lpwstr>
  </property>
</Properties>
</file>